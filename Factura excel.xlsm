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34" documentId="13_ncr:1_{C374DD79-F7C2-4689-94F5-64120680C989}" xr6:coauthVersionLast="47" xr6:coauthVersionMax="47" xr10:uidLastSave="{5FDED1CD-66C7-4F02-A5AD-BF95BC865CF7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FACTURAS!$E$3:$E$6</definedName>
    <definedName name="_xlnm._FilterDatabase" localSheetId="0" hidden="1">NUEVA!$D$15:$T$27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7" i="10" l="1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2" i="2"/>
  <c r="D23" i="2"/>
  <c r="D24" i="2"/>
  <c r="D25" i="2"/>
  <c r="D26" i="2"/>
  <c r="D15" i="2"/>
  <c r="AK2" i="10"/>
  <c r="AK2" i="2"/>
  <c r="D25" i="10" l="1"/>
  <c r="U17" i="10"/>
  <c r="U21" i="10"/>
  <c r="X17" i="10"/>
  <c r="AD17" i="10" s="1"/>
  <c r="X21" i="10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<sst xmlns="http://schemas.openxmlformats.org/spreadsheetml/2006/main" count="132" uniqueCount="99">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</sst>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3" borderId="16" xfId="0" applyNumberFormat="1" applyFill="1" applyBorder="1"/>
    <xf numFmtId="165" fontId="0" fillId="0" borderId="17" xfId="0" applyNumberFormat="1" applyBorder="1"/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6" totalsRowShown="0" headerRowDxfId="47" dataDxfId="46" tableBorderDxfId="45">
  <autoFilter ref="E2:AG6" xr:uid="{0CD457BA-9725-4E16-BBBC-4B55AB6B05BA}"/>
  <sortState xmlns:xlrd2="http://schemas.microsoft.com/office/spreadsheetml/2017/richdata2" ref="E3:AG6">
    <sortCondition descending="1" ref="E2:E6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D19" sqref="D19:W1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8"/>
      <c r="B1" s="35"/>
      <c r="C1" s="35"/>
      <c r="D1" s="35"/>
      <c r="E1" s="3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5" t="s">
        <v>0</v>
      </c>
      <c r="AL1" s="35"/>
      <c r="AM1" s="35"/>
      <c r="AN1" s="10"/>
    </row>
    <row r="2" spans="1:42" x14ac:dyDescent="0.25">
      <c r="A2" s="39"/>
      <c r="B2" s="32"/>
      <c r="C2" s="32"/>
      <c r="D2" s="32"/>
      <c r="E2" s="32"/>
      <c r="AK2" s="41">
        <f ca="1">TODAY()</f>
        <v>44786</v>
      </c>
      <c r="AL2" s="41"/>
      <c r="AM2" s="41"/>
      <c r="AN2" s="9"/>
    </row>
    <row r="3" spans="1:42" x14ac:dyDescent="0.25">
      <c r="A3" s="39"/>
      <c r="B3" s="32"/>
      <c r="C3" s="32"/>
      <c r="D3" s="32"/>
      <c r="E3" s="32"/>
      <c r="O3" s="31" t="s">
        <v>1</v>
      </c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N3" s="3"/>
    </row>
    <row r="4" spans="1:42" x14ac:dyDescent="0.25">
      <c r="A4" s="39"/>
      <c r="B4" s="32"/>
      <c r="C4" s="32"/>
      <c r="D4" s="32"/>
      <c r="E4" s="32"/>
      <c r="AK4" s="32" t="s">
        <v>2</v>
      </c>
      <c r="AL4" s="32"/>
      <c r="AM4" s="32"/>
      <c r="AN4" s="3"/>
    </row>
    <row r="5" spans="1:42" ht="15" customHeight="1" x14ac:dyDescent="0.25">
      <c r="A5" s="39"/>
      <c r="B5" s="32"/>
      <c r="C5" s="32"/>
      <c r="D5" s="32"/>
      <c r="E5" s="32"/>
      <c r="O5" s="32" t="s">
        <v>3</v>
      </c>
      <c r="P5" s="32"/>
      <c r="Q5" s="32"/>
      <c r="R5" s="32"/>
      <c r="S5" s="32"/>
      <c r="T5" s="32"/>
      <c r="U5" s="32"/>
      <c r="V5" s="32"/>
      <c r="W5" s="32"/>
      <c r="X5" s="32"/>
      <c r="Y5" s="32"/>
      <c r="AJ5" t="s">
        <v>4</v>
      </c>
      <c r="AK5" s="46">
        <v>4</v>
      </c>
      <c r="AL5" s="46"/>
      <c r="AM5" s="46"/>
      <c r="AN5" s="3"/>
    </row>
    <row r="6" spans="1:42" x14ac:dyDescent="0.25">
      <c r="A6" s="39"/>
      <c r="B6" s="32"/>
      <c r="C6" s="32"/>
      <c r="D6" s="32"/>
      <c r="E6" s="3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3" t="s">
        <v>5</v>
      </c>
      <c r="G9" s="33"/>
      <c r="H9" s="33"/>
      <c r="I9" s="33"/>
      <c r="J9" s="33"/>
      <c r="K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N9" s="3"/>
    </row>
    <row r="10" spans="1:42" ht="15.75" thickBot="1" x14ac:dyDescent="0.3">
      <c r="A10" s="2"/>
      <c r="F10" s="33" t="s">
        <v>6</v>
      </c>
      <c r="G10" s="33"/>
      <c r="H10" s="33"/>
      <c r="I10" s="33"/>
      <c r="J10" s="33"/>
      <c r="K10" s="33"/>
      <c r="P10" s="35" t="str">
        <f>IF(P9="","",VLOOKUP(P9,M_Empleados[],2,FALSE))</f>
        <v/>
      </c>
      <c r="Q10" s="35"/>
      <c r="R10" s="35"/>
      <c r="S10" s="35"/>
      <c r="T10" s="35"/>
      <c r="U10" s="35"/>
      <c r="V10" s="35"/>
      <c r="W10" s="35"/>
      <c r="X10" s="35"/>
      <c r="Y10" s="35"/>
      <c r="Z10" s="35"/>
      <c r="AN10" s="3"/>
      <c r="AO10" t="s">
        <v>7</v>
      </c>
    </row>
    <row r="11" spans="1:42" ht="15.75" thickBot="1" x14ac:dyDescent="0.3">
      <c r="A11" s="2"/>
      <c r="F11" s="33" t="s">
        <v>8</v>
      </c>
      <c r="G11" s="33"/>
      <c r="H11" s="33"/>
      <c r="I11" s="33"/>
      <c r="J11" s="33"/>
      <c r="K11" s="33"/>
      <c r="P11" s="35" t="str">
        <f>IF(P10="","",VLOOKUP(P9,M_Empleados[],3,FALSE))</f>
        <v/>
      </c>
      <c r="Q11" s="35"/>
      <c r="R11" s="35"/>
      <c r="S11" s="35"/>
      <c r="T11" s="35"/>
      <c r="U11" s="35"/>
      <c r="V11" s="35"/>
      <c r="W11" s="35"/>
      <c r="X11" s="35"/>
      <c r="Y11" s="35"/>
      <c r="Z11" s="35"/>
      <c r="AN11" s="3"/>
    </row>
    <row r="12" spans="1:42" ht="15.75" thickBot="1" x14ac:dyDescent="0.3">
      <c r="A12" s="2"/>
      <c r="F12" s="33" t="s">
        <v>9</v>
      </c>
      <c r="G12" s="33"/>
      <c r="H12" s="33"/>
      <c r="I12" s="7"/>
      <c r="J12" s="7"/>
      <c r="K12" s="7"/>
      <c r="P12" s="40" t="str">
        <f>IF(P11="","",VLOOKUP(P9,M_Empleados[],4,FALSE))</f>
        <v/>
      </c>
      <c r="Q12" s="40"/>
      <c r="R12" s="40"/>
      <c r="S12" s="40"/>
      <c r="T12" s="40"/>
      <c r="U12" s="40"/>
      <c r="V12" s="40"/>
      <c r="W12" s="40"/>
      <c r="X12" s="40"/>
      <c r="Y12" s="40"/>
      <c r="Z12" s="40"/>
      <c r="AN12" s="3"/>
    </row>
    <row r="13" spans="1:42" x14ac:dyDescent="0.25">
      <c r="A13" s="2"/>
      <c r="AN13" s="3"/>
    </row>
    <row r="14" spans="1:42" x14ac:dyDescent="0.25">
      <c r="A14" s="30" t="s">
        <v>10</v>
      </c>
      <c r="B14" s="30"/>
      <c r="C14" s="30"/>
      <c r="D14" s="30" t="s">
        <v>11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 t="s">
        <v>12</v>
      </c>
      <c r="V14" s="30"/>
      <c r="W14" s="30"/>
      <c r="X14" s="30" t="s">
        <v>13</v>
      </c>
      <c r="Y14" s="30"/>
      <c r="Z14" s="30"/>
      <c r="AA14" s="30"/>
      <c r="AB14" s="30"/>
      <c r="AC14" s="30"/>
      <c r="AD14" s="30" t="s">
        <v>14</v>
      </c>
      <c r="AE14" s="30"/>
      <c r="AF14" s="30"/>
      <c r="AG14" s="30"/>
      <c r="AH14" s="30"/>
      <c r="AI14" s="30"/>
      <c r="AJ14" s="30"/>
      <c r="AK14" s="30"/>
      <c r="AL14" s="30"/>
      <c r="AM14" s="30"/>
      <c r="AN14" s="30"/>
    </row>
    <row r="15" spans="1:42" x14ac:dyDescent="0.25">
      <c r="A15" s="36"/>
      <c r="B15" s="36"/>
      <c r="C15" s="36"/>
      <c r="D15" s="37" t="str">
        <f>IF(A15="","",(VLOOKUP(A15,M_Productos[],2,FALSE)))</f>
        <v/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43"/>
      <c r="V15" s="44"/>
      <c r="W15" s="45"/>
      <c r="X15" s="42" t="str">
        <f>IF(A15="","",(VLOOKUP(A15,M_Productos[],4,FALSE)*VLOOKUP($A15,M_Productos[],3,FALSE)*U15))</f>
        <v/>
      </c>
      <c r="Y15" s="42"/>
      <c r="Z15" s="42"/>
      <c r="AA15" s="42"/>
      <c r="AB15" s="42"/>
      <c r="AC15" s="42"/>
      <c r="AD15" s="42" t="str">
        <f>IF(A15="","",((VLOOKUP(A15,M_Productos[],4,FALSE) + X15)*U15))</f>
        <v/>
      </c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P15" s="11"/>
    </row>
    <row r="16" spans="1:42" x14ac:dyDescent="0.25">
      <c r="A16" s="36"/>
      <c r="B16" s="36"/>
      <c r="C16" s="36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43"/>
      <c r="V16" s="44"/>
      <c r="W16" s="45"/>
      <c r="X16" s="42" t="str">
        <f>IF(A16="","",(VLOOKUP(A16,M_Productos[],4,FALSE)*VLOOKUP($A16,M_Productos[],3,FALSE)*U16))</f>
        <v/>
      </c>
      <c r="Y16" s="42"/>
      <c r="Z16" s="42"/>
      <c r="AA16" s="42"/>
      <c r="AB16" s="42"/>
      <c r="AC16" s="42"/>
      <c r="AD16" s="42" t="str">
        <f>IF(A16="","",((VLOOKUP(A16,M_Productos[],4,FALSE) + X16)*U16))</f>
        <v/>
      </c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P16" s="11"/>
    </row>
    <row r="17" spans="1:42" x14ac:dyDescent="0.25">
      <c r="A17" s="36"/>
      <c r="B17" s="36"/>
      <c r="C17" s="36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43"/>
      <c r="V17" s="44"/>
      <c r="W17" s="45"/>
      <c r="X17" s="42" t="str">
        <f>IF(A17="","",(VLOOKUP(A17,M_Productos[],4,FALSE)*VLOOKUP($A17,M_Productos[],3,FALSE)*U17))</f>
        <v/>
      </c>
      <c r="Y17" s="42"/>
      <c r="Z17" s="42"/>
      <c r="AA17" s="42"/>
      <c r="AB17" s="42"/>
      <c r="AC17" s="42"/>
      <c r="AD17" s="42" t="str">
        <f>IF(A17="","",((VLOOKUP(A17,M_Productos[],4,FALSE) + X17)*U17))</f>
        <v/>
      </c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P17" s="11"/>
    </row>
    <row r="18" spans="1:42" x14ac:dyDescent="0.25">
      <c r="A18" s="36"/>
      <c r="B18" s="36"/>
      <c r="C18" s="36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43"/>
      <c r="V18" s="44"/>
      <c r="W18" s="45"/>
      <c r="X18" s="42" t="str">
        <f>IF(A18="","",(VLOOKUP(A18,M_Productos[],4,FALSE)*VLOOKUP($A18,M_Productos[],3,FALSE)*U18))</f>
        <v/>
      </c>
      <c r="Y18" s="42"/>
      <c r="Z18" s="42"/>
      <c r="AA18" s="42"/>
      <c r="AB18" s="42"/>
      <c r="AC18" s="42"/>
      <c r="AD18" s="42" t="str">
        <f>IF(A18="","",((VLOOKUP(A18,M_Productos[],4,FALSE) + X18)*U18))</f>
        <v/>
      </c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P18" s="11"/>
    </row>
    <row r="19" spans="1:42" x14ac:dyDescent="0.25">
      <c r="A19" s="36"/>
      <c r="B19" s="36"/>
      <c r="C19" s="36"/>
      <c r="D19" s="37" t="str">
        <f>IF(A19="","",(VLOOKUP(A19,M_Productos[],2,FALSE)))</f>
        <v/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43"/>
      <c r="V19" s="44"/>
      <c r="W19" s="45"/>
      <c r="X19" s="42" t="str">
        <f>IF(A19="","",(VLOOKUP(A19,M_Productos[],4,FALSE)*VLOOKUP($A19,M_Productos[],3,FALSE)*U19))</f>
        <v/>
      </c>
      <c r="Y19" s="42"/>
      <c r="Z19" s="42"/>
      <c r="AA19" s="42"/>
      <c r="AB19" s="42"/>
      <c r="AC19" s="42"/>
      <c r="AD19" s="42" t="str">
        <f>IF(A19="","",((VLOOKUP(A19,M_Productos[],4,FALSE) + X19)*U19))</f>
        <v/>
      </c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P19" s="11"/>
    </row>
    <row r="20" spans="1:42" x14ac:dyDescent="0.25">
      <c r="A20" s="36"/>
      <c r="B20" s="36"/>
      <c r="C20" s="36"/>
      <c r="D20" s="37" t="str">
        <f>IF(A21="","",(VLOOKUP(A21,M_Productos[],2,FALSE)))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43"/>
      <c r="V20" s="44"/>
      <c r="W20" s="45"/>
      <c r="X20" s="42" t="str">
        <f>IF(A20="","",(VLOOKUP(A20,M_Productos[],4,FALSE)*VLOOKUP($A20,M_Productos[],3,FALSE)*U20))</f>
        <v/>
      </c>
      <c r="Y20" s="42"/>
      <c r="Z20" s="42"/>
      <c r="AA20" s="42"/>
      <c r="AB20" s="42"/>
      <c r="AC20" s="42"/>
      <c r="AD20" s="42" t="str">
        <f>IF(A20="","",((VLOOKUP(A20,M_Productos[],4,FALSE) + X20)*U20))</f>
        <v/>
      </c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P20" s="11"/>
    </row>
    <row r="21" spans="1:42" x14ac:dyDescent="0.25">
      <c r="A21" s="36"/>
      <c r="B21" s="36"/>
      <c r="C21" s="36"/>
      <c r="U21" s="43"/>
      <c r="V21" s="44"/>
      <c r="W21" s="45"/>
      <c r="X21" s="42" t="str">
        <f>IF(A21="","",(VLOOKUP(A21,M_Productos[],4,FALSE)*VLOOKUP($A21,M_Productos[],3,FALSE)*U21))</f>
        <v/>
      </c>
      <c r="Y21" s="42"/>
      <c r="Z21" s="42"/>
      <c r="AA21" s="42"/>
      <c r="AB21" s="42"/>
      <c r="AC21" s="42"/>
      <c r="AD21" s="42" t="str">
        <f>IF(A21="","",((VLOOKUP(A21,M_Productos[],4,FALSE) + X21)*U21))</f>
        <v/>
      </c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P21" s="11"/>
    </row>
    <row r="22" spans="1:42" x14ac:dyDescent="0.25">
      <c r="A22" s="36"/>
      <c r="B22" s="36"/>
      <c r="C22" s="36"/>
      <c r="D22" s="37" t="str">
        <f>IF(A22="","",(VLOOKUP(A22,M_Productos[],2,FALSE)))</f>
        <v/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43"/>
      <c r="V22" s="44"/>
      <c r="W22" s="45"/>
      <c r="X22" s="42" t="str">
        <f>IF(A22="","",(VLOOKUP(A22,M_Productos[],4,FALSE)*VLOOKUP($A22,M_Productos[],3,FALSE)*U22))</f>
        <v/>
      </c>
      <c r="Y22" s="42"/>
      <c r="Z22" s="42"/>
      <c r="AA22" s="42"/>
      <c r="AB22" s="42"/>
      <c r="AC22" s="42"/>
      <c r="AD22" s="42" t="str">
        <f>IF(A22="","",((VLOOKUP(A22,M_Productos[],4,FALSE) + X22)*U22))</f>
        <v/>
      </c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P22" s="11"/>
    </row>
    <row r="23" spans="1:42" x14ac:dyDescent="0.25">
      <c r="A23" s="36"/>
      <c r="B23" s="36"/>
      <c r="C23" s="36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43"/>
      <c r="V23" s="44"/>
      <c r="W23" s="45"/>
      <c r="X23" s="42" t="str">
        <f>IF(A23="","",(VLOOKUP(A23,M_Productos[],4,FALSE)*VLOOKUP($A23,M_Productos[],3,FALSE)*U23))</f>
        <v/>
      </c>
      <c r="Y23" s="42"/>
      <c r="Z23" s="42"/>
      <c r="AA23" s="42"/>
      <c r="AB23" s="42"/>
      <c r="AC23" s="42"/>
      <c r="AD23" s="42" t="str">
        <f>IF(A23="","",((VLOOKUP(A23,M_Productos[],4,FALSE) + X23)*U23))</f>
        <v/>
      </c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P23" s="11"/>
    </row>
    <row r="24" spans="1:42" x14ac:dyDescent="0.25">
      <c r="A24" s="36"/>
      <c r="B24" s="36"/>
      <c r="C24" s="36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43"/>
      <c r="V24" s="44"/>
      <c r="W24" s="45"/>
      <c r="X24" s="42" t="str">
        <f>IF(A24="","",(VLOOKUP(A24,M_Productos[],4,FALSE)*VLOOKUP($A24,M_Productos[],3,FALSE)*U24))</f>
        <v/>
      </c>
      <c r="Y24" s="42"/>
      <c r="Z24" s="42"/>
      <c r="AA24" s="42"/>
      <c r="AB24" s="42"/>
      <c r="AC24" s="42"/>
      <c r="AD24" s="42" t="str">
        <f>IF(A24="","",((VLOOKUP(A24,M_Productos[],4,FALSE) + X24)*U24))</f>
        <v/>
      </c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P24" s="11"/>
    </row>
    <row r="25" spans="1:42" x14ac:dyDescent="0.25">
      <c r="A25" s="36"/>
      <c r="B25" s="36"/>
      <c r="C25" s="36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43"/>
      <c r="V25" s="44"/>
      <c r="W25" s="45"/>
      <c r="X25" s="42" t="str">
        <f>IF(A25="","",(VLOOKUP(A25,M_Productos[],4,FALSE)*VLOOKUP($A25,M_Productos[],3,FALSE)*U25))</f>
        <v/>
      </c>
      <c r="Y25" s="42"/>
      <c r="Z25" s="42"/>
      <c r="AA25" s="42"/>
      <c r="AB25" s="42"/>
      <c r="AC25" s="42"/>
      <c r="AD25" s="42" t="str">
        <f>IF(A25="","",((VLOOKUP(A25,M_Productos[],4,FALSE) + X25)*U25))</f>
        <v/>
      </c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P25" s="11"/>
    </row>
    <row r="26" spans="1:42" x14ac:dyDescent="0.25">
      <c r="A26" s="36"/>
      <c r="B26" s="36"/>
      <c r="C26" s="36"/>
      <c r="D26" s="37" t="str">
        <f>IF(A26="","",(VLOOKUP(A26,M_Productos[],2,FALSE)))</f>
        <v/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43"/>
      <c r="V26" s="44"/>
      <c r="W26" s="45"/>
      <c r="X26" s="42" t="str">
        <f>IF(A26="","",(VLOOKUP(A26,M_Productos[],4,FALSE)*VLOOKUP($A26,M_Productos[],3,FALSE)*U26))</f>
        <v/>
      </c>
      <c r="Y26" s="42"/>
      <c r="Z26" s="42"/>
      <c r="AA26" s="42"/>
      <c r="AB26" s="42"/>
      <c r="AC26" s="42"/>
      <c r="AD26" s="42" t="str">
        <f>IF(A26="","",((VLOOKUP(A26,M_Productos[],4,FALSE) + X26)*U26))</f>
        <v/>
      </c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P26" s="11"/>
    </row>
    <row r="27" spans="1:42" x14ac:dyDescent="0.25">
      <c r="A27" s="36"/>
      <c r="B27" s="36"/>
      <c r="C27" s="36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43"/>
      <c r="V27" s="44"/>
      <c r="W27" s="45"/>
      <c r="X27" s="42" t="str">
        <f>IF(A27="","",(VLOOKUP(A27,M_Productos[],4,FALSE)*VLOOKUP($A27,M_Productos[],3,FALSE)*U27))</f>
        <v/>
      </c>
      <c r="Y27" s="42"/>
      <c r="Z27" s="42"/>
      <c r="AA27" s="42"/>
      <c r="AB27" s="42"/>
      <c r="AC27" s="42"/>
      <c r="AD27" s="42" t="str">
        <f>IF(A27="","",((VLOOKUP(A27,M_Productos[],4,FALSE) + X27)*U27))</f>
        <v/>
      </c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29" t="s">
        <v>98</v>
      </c>
      <c r="C34" s="29"/>
      <c r="D34" s="29"/>
      <c r="E34" s="29"/>
    </row>
    <row r="35" spans="2:5" x14ac:dyDescent="0.25">
      <c r="B35" s="29"/>
      <c r="C35" s="29"/>
      <c r="D35" s="29"/>
      <c r="E35" s="29"/>
    </row>
  </sheetData>
  <protectedRanges>
    <protectedRange sqref="AK5:AM5" name="Rango1"/>
  </protectedRanges>
  <dataConsolidate function="max"/>
  <mergeCells count="93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U21:W21"/>
    <mergeCell ref="A24:C24"/>
    <mergeCell ref="D24:T24"/>
    <mergeCell ref="D25:T25"/>
    <mergeCell ref="D26:T26"/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  <mergeCell ref="A23:C23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R35"/>
  <sheetViews>
    <sheetView showGridLines="0" zoomScale="85" zoomScaleNormal="85" workbookViewId="0">
      <selection activeCell="X38" sqref="X38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4" x14ac:dyDescent="0.25">
      <c r="A1" s="38"/>
      <c r="B1" s="35"/>
      <c r="C1" s="35"/>
      <c r="D1" s="35"/>
      <c r="E1" s="3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5" t="s">
        <v>0</v>
      </c>
      <c r="AL1" s="35"/>
      <c r="AM1" s="35"/>
      <c r="AN1" s="10"/>
    </row>
    <row r="2" spans="1:44" x14ac:dyDescent="0.25">
      <c r="A2" s="39"/>
      <c r="B2" s="32"/>
      <c r="C2" s="32"/>
      <c r="D2" s="32"/>
      <c r="E2" s="32"/>
      <c r="AK2" s="41">
        <f ca="1">TODAY()</f>
        <v>44786</v>
      </c>
      <c r="AL2" s="41"/>
      <c r="AM2" s="41"/>
      <c r="AN2" s="9"/>
    </row>
    <row r="3" spans="1:44" x14ac:dyDescent="0.25">
      <c r="A3" s="39"/>
      <c r="B3" s="32"/>
      <c r="C3" s="32"/>
      <c r="D3" s="32"/>
      <c r="E3" s="32"/>
      <c r="O3" s="31" t="s">
        <v>1</v>
      </c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N3" s="3"/>
    </row>
    <row r="4" spans="1:44" x14ac:dyDescent="0.25">
      <c r="A4" s="39"/>
      <c r="B4" s="32"/>
      <c r="C4" s="32"/>
      <c r="D4" s="32"/>
      <c r="E4" s="32"/>
      <c r="AK4" s="32" t="s">
        <v>2</v>
      </c>
      <c r="AL4" s="32"/>
      <c r="AM4" s="32"/>
      <c r="AN4" s="3"/>
    </row>
    <row r="5" spans="1:44" ht="15" customHeight="1" x14ac:dyDescent="0.25">
      <c r="A5" s="39"/>
      <c r="B5" s="32"/>
      <c r="C5" s="32"/>
      <c r="D5" s="32"/>
      <c r="E5" s="32"/>
      <c r="O5" s="32" t="s">
        <v>3</v>
      </c>
      <c r="P5" s="32"/>
      <c r="Q5" s="32"/>
      <c r="R5" s="32"/>
      <c r="S5" s="32"/>
      <c r="T5" s="32"/>
      <c r="U5" s="32"/>
      <c r="V5" s="32"/>
      <c r="W5" s="32"/>
      <c r="X5" s="32"/>
      <c r="Y5" s="32"/>
      <c r="AJ5" t="s">
        <v>4</v>
      </c>
      <c r="AK5" s="46"/>
      <c r="AL5" s="46"/>
      <c r="AM5" s="46"/>
      <c r="AN5" s="3"/>
    </row>
    <row r="6" spans="1:44" x14ac:dyDescent="0.25">
      <c r="A6" s="39"/>
      <c r="B6" s="32"/>
      <c r="C6" s="32"/>
      <c r="D6" s="32"/>
      <c r="E6" s="32"/>
      <c r="AN6" s="3"/>
    </row>
    <row r="7" spans="1:44" ht="7.5" customHeight="1" x14ac:dyDescent="0.25">
      <c r="A7" s="2"/>
      <c r="AN7" s="3"/>
    </row>
    <row r="8" spans="1:44" hidden="1" x14ac:dyDescent="0.25">
      <c r="A8" s="2"/>
      <c r="AN8" s="3"/>
    </row>
    <row r="9" spans="1:44" ht="15.75" thickBot="1" x14ac:dyDescent="0.3">
      <c r="A9" s="2"/>
      <c r="F9" s="33" t="s">
        <v>5</v>
      </c>
      <c r="G9" s="33"/>
      <c r="H9" s="33"/>
      <c r="I9" s="33"/>
      <c r="J9" s="33"/>
      <c r="K9" s="33"/>
      <c r="P9" s="34" t="str">
        <f>IF($AK$5="","",VLOOKUP($AK$5,m_facturas[],2,FALSE))</f>
        <v/>
      </c>
      <c r="Q9" s="34"/>
      <c r="R9" s="34"/>
      <c r="S9" s="34"/>
      <c r="T9" s="34"/>
      <c r="U9" s="34"/>
      <c r="V9" s="34"/>
      <c r="W9" s="34"/>
      <c r="X9" s="34"/>
      <c r="Y9" s="34"/>
      <c r="Z9" s="34"/>
      <c r="AN9" s="3"/>
    </row>
    <row r="10" spans="1:44" ht="15.75" thickBot="1" x14ac:dyDescent="0.3">
      <c r="A10" s="2"/>
      <c r="F10" s="33" t="s">
        <v>6</v>
      </c>
      <c r="G10" s="33"/>
      <c r="H10" s="33"/>
      <c r="I10" s="33"/>
      <c r="J10" s="33"/>
      <c r="K10" s="33"/>
      <c r="P10" s="35" t="str">
        <f>IF(P9="","",VLOOKUP(P9,M_Empleados[],2,FALSE))</f>
        <v/>
      </c>
      <c r="Q10" s="35"/>
      <c r="R10" s="35"/>
      <c r="S10" s="35"/>
      <c r="T10" s="35"/>
      <c r="U10" s="35"/>
      <c r="V10" s="35"/>
      <c r="W10" s="35"/>
      <c r="X10" s="35"/>
      <c r="Y10" s="35"/>
      <c r="Z10" s="35"/>
      <c r="AN10" s="3"/>
    </row>
    <row r="11" spans="1:44" ht="15.75" thickBot="1" x14ac:dyDescent="0.3">
      <c r="A11" s="2"/>
      <c r="F11" s="33" t="s">
        <v>8</v>
      </c>
      <c r="G11" s="33"/>
      <c r="H11" s="33"/>
      <c r="I11" s="33"/>
      <c r="J11" s="33"/>
      <c r="K11" s="33"/>
      <c r="P11" s="35" t="str">
        <f>IF(P10="","",VLOOKUP(P9,M_Empleados[],3,FALSE))</f>
        <v/>
      </c>
      <c r="Q11" s="35"/>
      <c r="R11" s="35"/>
      <c r="S11" s="35"/>
      <c r="T11" s="35"/>
      <c r="U11" s="35"/>
      <c r="V11" s="35"/>
      <c r="W11" s="35"/>
      <c r="X11" s="35"/>
      <c r="Y11" s="35"/>
      <c r="Z11" s="35"/>
      <c r="AN11" s="3"/>
    </row>
    <row r="12" spans="1:44" ht="15.75" thickBot="1" x14ac:dyDescent="0.3">
      <c r="A12" s="2"/>
      <c r="F12" s="33" t="s">
        <v>9</v>
      </c>
      <c r="G12" s="33"/>
      <c r="H12" s="33"/>
      <c r="I12" s="7"/>
      <c r="J12" s="7"/>
      <c r="K12" s="7"/>
      <c r="P12" s="40" t="str">
        <f>IF(P11="","",VLOOKUP(P9,Empleados,4,FALSE))</f>
        <v/>
      </c>
      <c r="Q12" s="40"/>
      <c r="R12" s="40"/>
      <c r="S12" s="40"/>
      <c r="T12" s="40"/>
      <c r="U12" s="40"/>
      <c r="V12" s="40"/>
      <c r="W12" s="40"/>
      <c r="X12" s="40"/>
      <c r="Y12" s="40"/>
      <c r="Z12" s="40"/>
      <c r="AN12" s="3"/>
    </row>
    <row r="13" spans="1:44" x14ac:dyDescent="0.25">
      <c r="A13" s="2"/>
      <c r="AN13" s="3"/>
      <c r="AP13" s="30" t="str">
        <f>IF(BF3="","",VLOOKUP($AK$5,m_facturas[],17,FALSE))</f>
        <v/>
      </c>
      <c r="AQ13" s="30"/>
      <c r="AR13" s="30"/>
    </row>
    <row r="14" spans="1:44" x14ac:dyDescent="0.25">
      <c r="A14" s="30" t="s">
        <v>10</v>
      </c>
      <c r="B14" s="30"/>
      <c r="C14" s="30"/>
      <c r="D14" s="30" t="s">
        <v>11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 t="s">
        <v>12</v>
      </c>
      <c r="V14" s="30"/>
      <c r="W14" s="30"/>
      <c r="X14" s="30" t="s">
        <v>13</v>
      </c>
      <c r="Y14" s="30"/>
      <c r="Z14" s="30"/>
      <c r="AA14" s="30"/>
      <c r="AB14" s="30"/>
      <c r="AC14" s="30"/>
      <c r="AD14" s="30" t="s">
        <v>14</v>
      </c>
      <c r="AE14" s="30"/>
      <c r="AF14" s="30"/>
      <c r="AG14" s="30"/>
      <c r="AH14" s="30"/>
      <c r="AI14" s="30"/>
      <c r="AJ14" s="30"/>
      <c r="AK14" s="30"/>
      <c r="AL14" s="30"/>
      <c r="AM14" s="30"/>
      <c r="AN14" s="30"/>
    </row>
    <row r="15" spans="1:44" x14ac:dyDescent="0.25">
      <c r="A15" s="50" t="str">
        <f>IF($AK$5="","",IF(VLOOKUP($AK$5,m_facturas[],4,FALSE)="","",VLOOKUP($AK$5,m_facturas[],4,FALSE)))</f>
        <v/>
      </c>
      <c r="B15" s="51"/>
      <c r="C15" s="52"/>
      <c r="D15" s="37" t="str">
        <f>IF(A15="","",(VLOOKUP(A15,M_Productos[],2,FALSE)))</f>
        <v/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50" t="str">
        <f>IF(A15="","",VLOOKUP($AK$5,m_facturas[],17,FALSE))</f>
        <v/>
      </c>
      <c r="V15" s="51"/>
      <c r="W15" s="52"/>
      <c r="X15" s="42" t="str">
        <f>IF(A15="","",(VLOOKUP(A15,M_Productos[],4,FALSE)*VLOOKUP($A15,M_Productos[],3,FALSE)*U15))</f>
        <v/>
      </c>
      <c r="Y15" s="42"/>
      <c r="Z15" s="42"/>
      <c r="AA15" s="42"/>
      <c r="AB15" s="42"/>
      <c r="AC15" s="42"/>
      <c r="AD15" s="42" t="str">
        <f>IF(A15="","",((VLOOKUP(A15,M_Productos[],4,FALSE) + X15)*U15))</f>
        <v/>
      </c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P15" s="11"/>
    </row>
    <row r="16" spans="1:44" x14ac:dyDescent="0.25">
      <c r="A16" s="50" t="str">
        <f>IF($AK$5="","",IF(VLOOKUP($AK$5,m_facturas[],5,FALSE)="","",VLOOKUP($AK$5,m_facturas[],5,FALSE)))</f>
        <v/>
      </c>
      <c r="B16" s="51"/>
      <c r="C16" s="52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50" t="str">
        <f>IF(A16="","",VLOOKUP($AK$5,m_facturas[],18,FALSE))</f>
        <v/>
      </c>
      <c r="V16" s="51"/>
      <c r="W16" s="52"/>
      <c r="X16" s="42" t="str">
        <f>IF(A16="","",(VLOOKUP(A16,M_Productos[],4,FALSE)*VLOOKUP($A16,M_Productos[],3,FALSE)*U16))</f>
        <v/>
      </c>
      <c r="Y16" s="42"/>
      <c r="Z16" s="42"/>
      <c r="AA16" s="42"/>
      <c r="AB16" s="42"/>
      <c r="AC16" s="42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IF($AK$5="","",IF(VLOOKUP($AK$5,m_facturas[],6,FALSE)="","",VLOOKUP($AK$5,m_facturas[],6,FALSE)))</f>
        <v/>
      </c>
      <c r="B17" s="51"/>
      <c r="C17" s="52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50" t="str">
        <f>IF(A17="","",VLOOKUP($AK$5,m_facturas[],19,FALSE))</f>
        <v/>
      </c>
      <c r="V17" s="51"/>
      <c r="W17" s="52"/>
      <c r="X17" s="42" t="str">
        <f>IF(A17="","",(VLOOKUP(A17,M_Productos[],4,FALSE)*VLOOKUP($A17,M_Productos[],3,FALSE)*U17))</f>
        <v/>
      </c>
      <c r="Y17" s="42"/>
      <c r="Z17" s="42"/>
      <c r="AA17" s="42"/>
      <c r="AB17" s="42"/>
      <c r="AC17" s="42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IF($AK$5="","",IF(VLOOKUP($AK$5,m_facturas[],7,FALSE)="","",VLOOKUP($AK$5,m_facturas[],7,FALSE)))</f>
        <v/>
      </c>
      <c r="B18" s="51"/>
      <c r="C18" s="52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50" t="str">
        <f>IF(A18="","",VLOOKUP($AK$5,m_facturas[],20,FALSE))</f>
        <v/>
      </c>
      <c r="V18" s="51"/>
      <c r="W18" s="52"/>
      <c r="X18" s="42" t="str">
        <f>IF(A18="","",(VLOOKUP(A18,M_Productos[],4,FALSE)*VLOOKUP($A18,M_Productos[],3,FALSE)*U18))</f>
        <v/>
      </c>
      <c r="Y18" s="42"/>
      <c r="Z18" s="42"/>
      <c r="AA18" s="42"/>
      <c r="AB18" s="42"/>
      <c r="AC18" s="42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IF($AK$5="","",IF(VLOOKUP($AK$5,m_facturas[],8,FALSE)="","",VLOOKUP($AK$5,m_facturas[],8,FALSE)))</f>
        <v/>
      </c>
      <c r="B19" s="51"/>
      <c r="C19" s="52"/>
      <c r="D19" s="37" t="str">
        <f>IF(A19="","",(VLOOKUP(A19,M_Productos[],2,FALSE)))</f>
        <v/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50" t="str">
        <f>IF(A19="","",VLOOKUP($AK$5,m_facturas[],21,FALSE))</f>
        <v/>
      </c>
      <c r="V19" s="51"/>
      <c r="W19" s="52"/>
      <c r="X19" s="42" t="str">
        <f>IF(A19="","",(VLOOKUP(A19,M_Productos[],4,FALSE)*VLOOKUP($A19,M_Productos[],3,FALSE)*U19))</f>
        <v/>
      </c>
      <c r="Y19" s="42"/>
      <c r="Z19" s="42"/>
      <c r="AA19" s="42"/>
      <c r="AB19" s="42"/>
      <c r="AC19" s="42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IF($AK$5="","",IF(VLOOKUP($AK$5,m_facturas[],9,FALSE)="","",VLOOKUP($AK$5,m_facturas[],9,FALSE)))</f>
        <v/>
      </c>
      <c r="B20" s="51"/>
      <c r="C20" s="52"/>
      <c r="D20" s="37" t="str">
        <f>IF(A20="","",(VLOOKUP(A20,M_Productos[],2,FALSE)))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50" t="str">
        <f>IF(A20="","",VLOOKUP($AK$5,m_facturas[],22,FALSE))</f>
        <v/>
      </c>
      <c r="V20" s="51"/>
      <c r="W20" s="52"/>
      <c r="X20" s="42" t="str">
        <f>IF(A20="","",(VLOOKUP(A20,M_Productos[],4,FALSE)*VLOOKUP($A20,M_Productos[],3,FALSE)*U20))</f>
        <v/>
      </c>
      <c r="Y20" s="42"/>
      <c r="Z20" s="42"/>
      <c r="AA20" s="42"/>
      <c r="AB20" s="42"/>
      <c r="AC20" s="42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IF($AK$5="","",IF(VLOOKUP($AK$5,m_facturas[],10,FALSE)="","",VLOOKUP($AK$5,m_facturas[],10,FALSE)))</f>
        <v/>
      </c>
      <c r="B21" s="51"/>
      <c r="C21" s="52"/>
      <c r="D21" s="37" t="str">
        <f>IF(A21="","",(VLOOKUP(A21,M_Productos[],2,FALSE)))</f>
        <v/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50" t="str">
        <f>IF(A21="","",VLOOKUP($AK$5,m_facturas[],23,FALSE))</f>
        <v/>
      </c>
      <c r="V21" s="51"/>
      <c r="W21" s="52"/>
      <c r="X21" s="42" t="str">
        <f>IF(A21="","",(VLOOKUP(A21,M_Productos[],4,FALSE)*VLOOKUP($A21,M_Productos[],3,FALSE)*U21))</f>
        <v/>
      </c>
      <c r="Y21" s="42"/>
      <c r="Z21" s="42"/>
      <c r="AA21" s="42"/>
      <c r="AB21" s="42"/>
      <c r="AC21" s="42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IF($AK$5="","",IF(VLOOKUP($AK$5,m_facturas[],11,FALSE)="","",VLOOKUP($AK$5,m_facturas[],11,FALSE)))</f>
        <v/>
      </c>
      <c r="B22" s="51"/>
      <c r="C22" s="52"/>
      <c r="D22" s="37" t="str">
        <f>IF(A22="","",(VLOOKUP(A22,M_Productos[],2,FALSE)))</f>
        <v/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50" t="str">
        <f>IF(A22="","",VLOOKUP($AK$5,m_facturas[],24,FALSE))</f>
        <v/>
      </c>
      <c r="V22" s="51"/>
      <c r="W22" s="52"/>
      <c r="X22" s="42" t="str">
        <f>IF(A22="","",(VLOOKUP(A22,M_Productos[],4,FALSE)*VLOOKUP($A22,M_Productos[],3,FALSE)*U22))</f>
        <v/>
      </c>
      <c r="Y22" s="42"/>
      <c r="Z22" s="42"/>
      <c r="AA22" s="42"/>
      <c r="AB22" s="42"/>
      <c r="AC22" s="42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IF($AK$5="","",IF(VLOOKUP($AK$5,m_facturas[],12,FALSE)="","",VLOOKUP($AK$5,m_facturas[],12,FALSE)))</f>
        <v/>
      </c>
      <c r="B23" s="51"/>
      <c r="C23" s="52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50" t="str">
        <f>IF(A23="","",VLOOKUP($AK$5,m_facturas[],25,FALSE))</f>
        <v/>
      </c>
      <c r="V23" s="51"/>
      <c r="W23" s="52"/>
      <c r="X23" s="42" t="str">
        <f>IF(A23="","",(VLOOKUP(A23,M_Productos[],4,FALSE)*VLOOKUP($A23,M_Productos[],3,FALSE)*U23))</f>
        <v/>
      </c>
      <c r="Y23" s="42"/>
      <c r="Z23" s="42"/>
      <c r="AA23" s="42"/>
      <c r="AB23" s="42"/>
      <c r="AC23" s="42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IF($AK$5="","",IF(VLOOKUP($AK$5,m_facturas[],13,FALSE)="","",VLOOKUP($AK$5,m_facturas[],13,FALSE)))</f>
        <v/>
      </c>
      <c r="B24" s="51"/>
      <c r="C24" s="52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50" t="str">
        <f>IF(A24="","",VLOOKUP($AK$5,m_facturas[],26,FALSE))</f>
        <v/>
      </c>
      <c r="V24" s="51"/>
      <c r="W24" s="52"/>
      <c r="X24" s="42" t="str">
        <f>IF(A24="","",(VLOOKUP(A24,M_Productos[],4,FALSE)*VLOOKUP($A24,M_Productos[],3,FALSE)*U24))</f>
        <v/>
      </c>
      <c r="Y24" s="42"/>
      <c r="Z24" s="42"/>
      <c r="AA24" s="42"/>
      <c r="AB24" s="42"/>
      <c r="AC24" s="42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IF($AK$5="","",IF(VLOOKUP($AK$5,m_facturas[],14,FALSE)="","",VLOOKUP($AK$5,m_facturas[],14,FALSE)))</f>
        <v/>
      </c>
      <c r="B25" s="51"/>
      <c r="C25" s="52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50" t="str">
        <f>IF(A25="","",VLOOKUP($AK$5,m_facturas[],27,FALSE))</f>
        <v/>
      </c>
      <c r="V25" s="51"/>
      <c r="W25" s="52"/>
      <c r="X25" s="42" t="str">
        <f>IF(A25="","",(VLOOKUP(A25,M_Productos[],4,FALSE)*VLOOKUP($A25,M_Productos[],3,FALSE)*U25))</f>
        <v/>
      </c>
      <c r="Y25" s="42"/>
      <c r="Z25" s="42"/>
      <c r="AA25" s="42"/>
      <c r="AB25" s="42"/>
      <c r="AC25" s="42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IF($AK$5="","",IF(VLOOKUP($AK$5,m_facturas[],15,FALSE)="","",VLOOKUP($AK$5,m_facturas[],15,FALSE)))</f>
        <v/>
      </c>
      <c r="B26" s="51"/>
      <c r="C26" s="52"/>
      <c r="D26" s="37" t="str">
        <f>IF(A26="","",(VLOOKUP(A26,M_Productos[],2,FALSE)))</f>
        <v/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50" t="str">
        <f>IF(A26="","",VLOOKUP($AK$5,m_facturas[],28,FALSE))</f>
        <v/>
      </c>
      <c r="V26" s="51"/>
      <c r="W26" s="52"/>
      <c r="X26" s="42" t="str">
        <f>IF(A26="","",(VLOOKUP(A26,M_Productos[],4,FALSE)*VLOOKUP($A26,M_Productos[],3,FALSE)*U26))</f>
        <v/>
      </c>
      <c r="Y26" s="42"/>
      <c r="Z26" s="42"/>
      <c r="AA26" s="42"/>
      <c r="AB26" s="42"/>
      <c r="AC26" s="42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IF($AK$5="","",IF(VLOOKUP($AK$5,m_facturas[],16,FALSE)="","",VLOOKUP($AK$5,m_facturas[],16,FALSE)))</f>
        <v/>
      </c>
      <c r="B27" s="51"/>
      <c r="C27" s="52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50" t="str">
        <f>IF(A27="","",VLOOKUP($AK$5,m_facturas[],29,FALSE))</f>
        <v/>
      </c>
      <c r="V27" s="51"/>
      <c r="W27" s="52"/>
      <c r="X27" s="42" t="str">
        <f>IF(A27="","",(VLOOKUP(A27,M_Productos[],4,FALSE)*VLOOKUP($A27,M_Productos[],3,FALSE)*U27))</f>
        <v/>
      </c>
      <c r="Y27" s="42"/>
      <c r="Z27" s="42"/>
      <c r="AA27" s="42"/>
      <c r="AB27" s="42"/>
      <c r="AC27" s="42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29"/>
      <c r="C34" s="29"/>
      <c r="D34" s="29"/>
      <c r="E34" s="29"/>
    </row>
    <row r="35" spans="2:5" x14ac:dyDescent="0.25">
      <c r="B35" s="29"/>
      <c r="C35" s="29"/>
      <c r="D35" s="29"/>
      <c r="E35" s="29"/>
    </row>
  </sheetData>
  <sheetProtection sheet="1" objects="1" scenarios="1"/>
  <protectedRanges>
    <protectedRange sqref="AK5:AM5" name="Rango1"/>
  </protectedRanges>
  <dataConsolidate function="max"/>
  <mergeCells count="95">
    <mergeCell ref="AP13:AR13"/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6"/>
  <sheetViews>
    <sheetView zoomScaleNormal="100" workbookViewId="0">
      <selection activeCell="F19" sqref="F19"/>
    </sheetView>
  </sheetViews>
  <sheetFormatPr baseColWidth="10" defaultColWidth="3" defaultRowHeight="15" x14ac:dyDescent="0.25"/>
  <cols>
    <col min="5" max="5" width="9.14062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26">
        <v>3</v>
      </c>
      <c r="F3" s="13" t="s">
        <v>48</v>
      </c>
      <c r="G3" s="27">
        <v>44786</v>
      </c>
      <c r="H3" s="28"/>
      <c r="I3" s="28"/>
      <c r="J3" s="28"/>
      <c r="K3" s="28"/>
      <c r="L3" s="28"/>
      <c r="M3" s="28"/>
      <c r="N3" s="28"/>
      <c r="O3" s="28" t="s">
        <v>49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>
        <v>1</v>
      </c>
      <c r="AC3" s="28"/>
      <c r="AD3" s="28"/>
      <c r="AE3" s="28"/>
      <c r="AF3" s="28"/>
      <c r="AG3" s="28"/>
    </row>
    <row r="4" spans="5:33" x14ac:dyDescent="0.25">
      <c r="E4" s="26">
        <v>2</v>
      </c>
      <c r="F4" s="13" t="s">
        <v>79</v>
      </c>
      <c r="G4" s="27">
        <v>44786</v>
      </c>
      <c r="H4" s="28"/>
      <c r="I4" s="28"/>
      <c r="J4" s="28"/>
      <c r="K4" s="28"/>
      <c r="L4" s="28"/>
      <c r="M4" s="28" t="s">
        <v>52</v>
      </c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>
        <v>1</v>
      </c>
      <c r="AA4" s="28"/>
      <c r="AB4" s="28"/>
      <c r="AC4" s="28"/>
      <c r="AD4" s="28"/>
      <c r="AE4" s="28"/>
      <c r="AF4" s="28"/>
      <c r="AG4" s="28"/>
    </row>
    <row r="5" spans="5:33" x14ac:dyDescent="0.25">
      <c r="E5" s="26">
        <v>1</v>
      </c>
      <c r="F5" s="13" t="s">
        <v>69</v>
      </c>
      <c r="G5" s="27">
        <v>44786</v>
      </c>
      <c r="H5" s="28" t="s">
        <v>85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>
        <v>1</v>
      </c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</row>
    <row r="6" spans="5:33" x14ac:dyDescent="0.25">
      <c r="E6" s="26">
        <v>0</v>
      </c>
      <c r="F6" s="13" t="s">
        <v>50</v>
      </c>
      <c r="G6" s="27">
        <v>44786</v>
      </c>
      <c r="H6" s="28"/>
      <c r="I6" s="28" t="s">
        <v>85</v>
      </c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>
        <v>1</v>
      </c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2022-08-13T17:57:18Z</dcterms:modified>
  <cp:category/>
  <cp:contentStatus/>
</cp:coreProperties>
</file>
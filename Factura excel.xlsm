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"/>
    </mc:Choice>
  </mc:AlternateContent>
  <xr:revisionPtr revIDLastSave="80" documentId="8_{1EA3C051-259C-443A-B659-6F9C5D0A9645}" xr6:coauthVersionLast="47" xr6:coauthVersionMax="47" xr10:uidLastSave="{D6EEDC34-E1DF-4A98-8E0D-AC84D6CBB54E}"/>
  <bookViews>
    <workbookView xWindow="-108" yWindow="-108" windowWidth="23256" windowHeight="13176" activeTab="1" xr2:uid="{E7BCC358-6F38-4867-B30C-32EEB422F7F0}"/>
  </bookViews>
  <sheets>
    <sheet name="BUSQUEDA" sheetId="2" r:id="rId1"/>
    <sheet name="FACTURAS" sheetId="5" r:id="rId2"/>
    <sheet name="Hoja1" sheetId="8" r:id="rId3"/>
    <sheet name="MEMORIA" sheetId="6" r:id="rId4"/>
    <sheet name="EMPLEADOS" sheetId="4" r:id="rId5"/>
    <sheet name="PRODUCTOS" sheetId="3" r:id="rId6"/>
  </sheets>
  <definedNames>
    <definedName name="_xlnm._FilterDatabase" localSheetId="0" hidden="1">BUSQUEDA!$D$15:$T$27</definedName>
    <definedName name="_xlnm._FilterDatabase" localSheetId="1" hidden="1">FACTURAS!$AQ$5:$AS$24</definedName>
    <definedName name="_xlnm.Extract" localSheetId="1">FACTURAS!$C$31:$CI$31</definedName>
    <definedName name="CODIGOS">PRODUCTOS!$B$5:$B$17</definedName>
    <definedName name="_xlnm.Criteria" localSheetId="1">FACTURAS!$C$29</definedName>
    <definedName name="Empleados">EMPLEADOS!$B$5:$E$10</definedName>
    <definedName name="LISTA">PRODUCTOS!$B$5:$E$17</definedName>
    <definedName name="Nombre_Empleado">EMPLEADOS!$B$5:$B$10</definedName>
    <definedName name="Nro_Factura">FACTURAS!$7:$7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6" l="1"/>
  <c r="AK2" i="2"/>
  <c r="P10" i="2"/>
  <c r="P11" i="2" s="1"/>
  <c r="P12" i="2" s="1"/>
  <c r="X26" i="2"/>
  <c r="AD25" i="2"/>
  <c r="AD26" i="2"/>
  <c r="AD27" i="2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X27" i="2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<sst xmlns="http://schemas.openxmlformats.org/spreadsheetml/2006/main" count="96" uniqueCount="70">
  <si>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</si>
  <si>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</si>
  <si>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</si>
  <si>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</si>
  <si>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</si>
  <si>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</si>
  <si>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</si>
  <si>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</si>
  <si>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</si>
  <si>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</si>
  <si>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</si>
  <si>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</si>
  <si>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</si>
  <si>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</si>
  <si>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</si>
  <si>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</si>
  <si>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</si>
  <si>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</si>
  <si>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</si>
  <si>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</si>
  <si>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</si>
  <si>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</si>
  <si>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</si>
  <si>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</si>
  <si>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</si>
  <si>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</si>
  <si>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</si>
  <si>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</si>
  <si>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</si>
  <si>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</si>
  <si>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</si>
  <si>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</si>
  <si>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</si>
  <si>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</si>
  <si>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</si>
  <si>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</si>
  <si>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</si>
  <si>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</si>
  <si>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</si>
  <si>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</si>
  <si>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</si>
  <si>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</si>
  <si>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</si>
  <si>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</si>
  <si>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</si>
  <si>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</si>
  <si>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</si>
  <si>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</si>
  <si>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</si>
  <si>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</si>
  <si>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</si>
  <si>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</si>
  <si>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</si>
  <si>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</si>
  <si>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</si>
  <si>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</si>
  <si>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</si>
  <si>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</si>
  <si>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</si>
  <si>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</si>
  <si>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</si>
  <si>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</si>
  <si>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</si>
  <si>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</si>
  <si>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</si>
  <si>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</si>
  <si>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Name</t>
  </si>
  <si>
    <t>Fecha</t>
  </si>
  <si>
    <t>Productos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</si>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</sst>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&quot;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717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5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166" fontId="0" fillId="0" borderId="0" xfId="0" applyNumberFormat="1"/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/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166" fontId="4" fillId="4" borderId="12" xfId="0" applyNumberFormat="1" applyFont="1" applyFill="1" applyBorder="1" applyAlignment="1">
      <alignment horizontal="center" vertical="center"/>
    </xf>
    <xf numFmtId="166" fontId="4" fillId="4" borderId="13" xfId="0" applyNumberFormat="1" applyFont="1" applyFill="1" applyBorder="1" applyAlignment="1">
      <alignment horizontal="center" vertical="center"/>
    </xf>
    <xf numFmtId="166" fontId="4" fillId="4" borderId="7" xfId="0" applyNumberFormat="1" applyFont="1" applyFill="1" applyBorder="1" applyAlignment="1">
      <alignment horizontal="center" vertical="center"/>
    </xf>
    <xf numFmtId="14" fontId="4" fillId="9" borderId="7" xfId="0" applyNumberFormat="1" applyFont="1" applyFill="1" applyBorder="1" applyAlignment="1">
      <alignment horizontal="center" vertical="center"/>
    </xf>
    <xf numFmtId="14" fontId="4" fillId="9" borderId="11" xfId="0" applyNumberFormat="1" applyFont="1" applyFill="1" applyBorder="1" applyAlignment="1">
      <alignment horizontal="center" vertical="center"/>
    </xf>
    <xf numFmtId="14" fontId="4" fillId="9" borderId="13" xfId="0" applyNumberFormat="1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166" fontId="0" fillId="0" borderId="10" xfId="3" applyNumberFormat="1" applyFont="1" applyBorder="1" applyAlignment="1">
      <alignment horizontal="center"/>
    </xf>
    <xf numFmtId="0" fontId="0" fillId="0" borderId="14" xfId="0" applyBorder="1"/>
    <xf numFmtId="0" fontId="5" fillId="0" borderId="15" xfId="0" applyFont="1" applyBorder="1"/>
    <xf numFmtId="165" fontId="4" fillId="9" borderId="13" xfId="0" applyNumberFormat="1" applyFont="1" applyFill="1" applyBorder="1" applyAlignment="1">
      <alignment horizontal="center" vertical="center"/>
    </xf>
    <xf numFmtId="165" fontId="4" fillId="9" borderId="7" xfId="0" applyNumberFormat="1" applyFont="1" applyFill="1" applyBorder="1" applyAlignment="1">
      <alignment horizontal="center" vertical="center"/>
    </xf>
    <xf numFmtId="165" fontId="4" fillId="9" borderId="11" xfId="0" applyNumberFormat="1" applyFont="1" applyFill="1" applyBorder="1" applyAlignment="1">
      <alignment horizontal="center" vertical="center"/>
    </xf>
    <xf numFmtId="49" fontId="0" fillId="0" borderId="7" xfId="0" applyNumberFormat="1" applyBorder="1" applyAlignment="1">
      <alignment horizontal="center"/>
    </xf>
    <xf numFmtId="49" fontId="0" fillId="8" borderId="7" xfId="0" applyNumberFormat="1" applyFill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4" fillId="3" borderId="7" xfId="0" applyFont="1" applyFill="1" applyBorder="1" applyAlignment="1">
      <alignment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2">
    <dxf>
      <font>
        <color rgb="FFFF0000"/>
      </font>
      <fill>
        <patternFill patternType="none">
          <fgColor indexed="64"/>
          <bgColor auto="1"/>
        </patternFill>
      </fill>
    </dxf>
    <dxf>
      <font>
        <u val="none"/>
        <color rgb="FF00B050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zoomScaleNormal="100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24"/>
      <c r="B1" s="25"/>
      <c r="C1" s="25"/>
      <c r="D1" s="25"/>
      <c r="E1" s="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5" t="s">
        <v>0</v>
      </c>
      <c r="AL1" s="25"/>
      <c r="AM1" s="25"/>
      <c r="AN1" s="13"/>
    </row>
    <row r="2" spans="1:42" x14ac:dyDescent="0.3">
      <c r="A2" s="26"/>
      <c r="B2" s="27"/>
      <c r="C2" s="27"/>
      <c r="D2" s="27"/>
      <c r="E2" s="27"/>
      <c r="AK2" s="29">
        <f ca="1">TODAY()</f>
        <v>44779</v>
      </c>
      <c r="AL2" s="29"/>
      <c r="AM2" s="29"/>
      <c r="AN2" s="11"/>
    </row>
    <row r="3" spans="1:42" x14ac:dyDescent="0.3">
      <c r="A3" s="26"/>
      <c r="B3" s="27"/>
      <c r="C3" s="27"/>
      <c r="D3" s="27"/>
      <c r="E3" s="27"/>
      <c r="O3" s="31" t="s">
        <v>1</v>
      </c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N3" s="3"/>
    </row>
    <row r="4" spans="1:42" x14ac:dyDescent="0.3">
      <c r="A4" s="26"/>
      <c r="B4" s="27"/>
      <c r="C4" s="27"/>
      <c r="D4" s="27"/>
      <c r="E4" s="27"/>
      <c r="AK4" s="27" t="s">
        <v>69</v>
      </c>
      <c r="AL4" s="27"/>
      <c r="AM4" s="27"/>
      <c r="AN4" s="12"/>
    </row>
    <row r="5" spans="1:42" ht="15" customHeight="1" x14ac:dyDescent="0.3">
      <c r="A5" s="26"/>
      <c r="B5" s="27"/>
      <c r="C5" s="27"/>
      <c r="D5" s="27"/>
      <c r="E5" s="27"/>
      <c r="O5" s="27" t="s">
        <v>2</v>
      </c>
      <c r="P5" s="27"/>
      <c r="Q5" s="27"/>
      <c r="R5" s="27"/>
      <c r="S5" s="27"/>
      <c r="T5" s="27"/>
      <c r="U5" s="27"/>
      <c r="V5" s="27"/>
      <c r="W5" s="27"/>
      <c r="X5" s="27"/>
      <c r="Y5" s="27"/>
      <c r="AJ5" t="s">
        <v>64</v>
      </c>
      <c r="AK5" s="58">
        <v>9</v>
      </c>
      <c r="AL5" s="58"/>
      <c r="AM5" s="58"/>
      <c r="AN5" s="12"/>
    </row>
    <row r="6" spans="1:42" x14ac:dyDescent="0.3">
      <c r="A6" s="26"/>
      <c r="B6" s="27"/>
      <c r="C6" s="27"/>
      <c r="D6" s="27"/>
      <c r="E6" s="27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32" t="s">
        <v>3</v>
      </c>
      <c r="G9" s="32"/>
      <c r="H9" s="32"/>
      <c r="I9" s="32"/>
      <c r="J9" s="32"/>
      <c r="K9" s="32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N9" s="3"/>
      <c r="AP9" s="14"/>
    </row>
    <row r="10" spans="1:42" ht="15" thickBot="1" x14ac:dyDescent="0.35">
      <c r="A10" s="2"/>
      <c r="F10" s="32" t="s">
        <v>5</v>
      </c>
      <c r="G10" s="32"/>
      <c r="H10" s="32"/>
      <c r="I10" s="32"/>
      <c r="J10" s="32"/>
      <c r="K10" s="32"/>
      <c r="P10" s="25" t="str">
        <f>IF(P9="","",VLOOKUP(P9,Empleados,2,FALSE))</f>
        <v/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N10" s="3"/>
    </row>
    <row r="11" spans="1:42" ht="15" thickBot="1" x14ac:dyDescent="0.35">
      <c r="A11" s="2"/>
      <c r="F11" s="32" t="s">
        <v>6</v>
      </c>
      <c r="G11" s="32"/>
      <c r="H11" s="32"/>
      <c r="I11" s="32"/>
      <c r="J11" s="32"/>
      <c r="K11" s="32"/>
      <c r="P11" s="25" t="str">
        <f>IF(P10="","",VLOOKUP(P9,Empleados,3,FALSE))</f>
        <v/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N11" s="3"/>
    </row>
    <row r="12" spans="1:42" ht="15" thickBot="1" x14ac:dyDescent="0.35">
      <c r="A12" s="2"/>
      <c r="F12" s="32" t="s">
        <v>7</v>
      </c>
      <c r="G12" s="32"/>
      <c r="H12" s="32"/>
      <c r="I12" s="9"/>
      <c r="J12" s="9"/>
      <c r="K12" s="9"/>
      <c r="P12" s="28" t="str">
        <f>IF(P11="","",VLOOKUP(P9,Empleados,4,FALSE))</f>
        <v/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N12" s="3"/>
    </row>
    <row r="13" spans="1:42" x14ac:dyDescent="0.3">
      <c r="A13" s="2"/>
      <c r="AN13" s="3"/>
    </row>
    <row r="14" spans="1:42" x14ac:dyDescent="0.3">
      <c r="A14" s="23" t="s">
        <v>8</v>
      </c>
      <c r="B14" s="23"/>
      <c r="C14" s="23"/>
      <c r="D14" s="23" t="s">
        <v>9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10</v>
      </c>
      <c r="V14" s="23"/>
      <c r="W14" s="23"/>
      <c r="X14" s="23" t="s">
        <v>11</v>
      </c>
      <c r="Y14" s="23"/>
      <c r="Z14" s="23"/>
      <c r="AA14" s="23"/>
      <c r="AB14" s="23"/>
      <c r="AC14" s="23"/>
      <c r="AD14" s="23" t="s">
        <v>12</v>
      </c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2" x14ac:dyDescent="0.3">
      <c r="A15" s="53"/>
      <c r="B15" s="53"/>
      <c r="C15" s="53"/>
      <c r="D15" s="22" t="str">
        <f t="shared" ref="D15:D27" si="0">IF(A15="","",(VLOOKUP(A15,LISTA,2,FALSE)))</f>
        <v/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55"/>
      <c r="V15" s="56"/>
      <c r="W15" s="57"/>
      <c r="X15" s="15" t="str">
        <f t="shared" ref="X15:X27" si="1">IF(A15="","",(VLOOKUP(A15,LISTA,4,FALSE)*VLOOKUP($A15,LISTA,3,FALSE)*U15))</f>
        <v/>
      </c>
      <c r="Y15" s="15"/>
      <c r="Z15" s="15"/>
      <c r="AA15" s="15"/>
      <c r="AB15" s="15"/>
      <c r="AC15" s="15"/>
      <c r="AD15" s="15" t="str">
        <f t="shared" ref="AD15:AD27" si="2">IF(A15="","",((VLOOKUP(A15,LISTA,4,FALSE) + X15)*U15))</f>
        <v/>
      </c>
      <c r="AE15" s="15"/>
      <c r="AF15" s="15"/>
      <c r="AG15" s="15"/>
      <c r="AH15" s="15"/>
      <c r="AI15" s="15"/>
      <c r="AJ15" s="15"/>
      <c r="AK15" s="15"/>
      <c r="AL15" s="15"/>
      <c r="AM15" s="15"/>
      <c r="AN15" s="15"/>
    </row>
    <row r="16" spans="1:42" x14ac:dyDescent="0.3">
      <c r="A16" s="53"/>
      <c r="B16" s="53"/>
      <c r="C16" s="53"/>
      <c r="D16" s="22" t="str">
        <f t="shared" si="0"/>
        <v/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19"/>
      <c r="V16" s="20"/>
      <c r="W16" s="21"/>
      <c r="X16" s="15" t="str">
        <f t="shared" si="1"/>
        <v/>
      </c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</row>
    <row r="17" spans="1:40" x14ac:dyDescent="0.3">
      <c r="A17" s="53"/>
      <c r="B17" s="53"/>
      <c r="C17" s="53"/>
      <c r="D17" s="22" t="str">
        <f t="shared" si="0"/>
        <v/>
      </c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19"/>
      <c r="V17" s="20"/>
      <c r="W17" s="21"/>
      <c r="X17" s="15" t="str">
        <f t="shared" si="1"/>
        <v/>
      </c>
      <c r="Y17" s="15"/>
      <c r="Z17" s="15"/>
      <c r="AA17" s="15"/>
      <c r="AB17" s="15"/>
      <c r="AC17" s="15"/>
      <c r="AD17" s="15" t="str">
        <f t="shared" si="2"/>
        <v/>
      </c>
      <c r="AE17" s="15"/>
      <c r="AF17" s="15"/>
      <c r="AG17" s="15"/>
      <c r="AH17" s="15"/>
      <c r="AI17" s="15"/>
      <c r="AJ17" s="15"/>
      <c r="AK17" s="15"/>
      <c r="AL17" s="15"/>
      <c r="AM17" s="15"/>
      <c r="AN17" s="15"/>
    </row>
    <row r="18" spans="1:40" x14ac:dyDescent="0.3">
      <c r="A18" s="53"/>
      <c r="B18" s="53"/>
      <c r="C18" s="53"/>
      <c r="D18" s="22" t="str">
        <f t="shared" si="0"/>
        <v/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19"/>
      <c r="V18" s="20"/>
      <c r="W18" s="21"/>
      <c r="X18" s="15" t="str">
        <f t="shared" si="1"/>
        <v/>
      </c>
      <c r="Y18" s="15"/>
      <c r="Z18" s="15"/>
      <c r="AA18" s="15"/>
      <c r="AB18" s="15"/>
      <c r="AC18" s="15"/>
      <c r="AD18" s="15" t="str">
        <f t="shared" si="2"/>
        <v/>
      </c>
      <c r="AE18" s="15"/>
      <c r="AF18" s="15"/>
      <c r="AG18" s="15"/>
      <c r="AH18" s="15"/>
      <c r="AI18" s="15"/>
      <c r="AJ18" s="15"/>
      <c r="AK18" s="15"/>
      <c r="AL18" s="15"/>
      <c r="AM18" s="15"/>
      <c r="AN18" s="15"/>
    </row>
    <row r="19" spans="1:40" x14ac:dyDescent="0.3">
      <c r="A19" s="53"/>
      <c r="B19" s="53"/>
      <c r="C19" s="53"/>
      <c r="D19" s="22" t="str">
        <f t="shared" si="0"/>
        <v/>
      </c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19"/>
      <c r="V19" s="20"/>
      <c r="W19" s="21"/>
      <c r="X19" s="15" t="str">
        <f t="shared" si="1"/>
        <v/>
      </c>
      <c r="Y19" s="15"/>
      <c r="Z19" s="15"/>
      <c r="AA19" s="15"/>
      <c r="AB19" s="15"/>
      <c r="AC19" s="15"/>
      <c r="AD19" s="15" t="str">
        <f t="shared" si="2"/>
        <v/>
      </c>
      <c r="AE19" s="15"/>
      <c r="AF19" s="15"/>
      <c r="AG19" s="15"/>
      <c r="AH19" s="15"/>
      <c r="AI19" s="15"/>
      <c r="AJ19" s="15"/>
      <c r="AK19" s="15"/>
      <c r="AL19" s="15"/>
      <c r="AM19" s="15"/>
      <c r="AN19" s="15"/>
    </row>
    <row r="20" spans="1:40" x14ac:dyDescent="0.3">
      <c r="A20" s="53"/>
      <c r="B20" s="53"/>
      <c r="C20" s="53"/>
      <c r="D20" s="22" t="str">
        <f t="shared" si="0"/>
        <v/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19"/>
      <c r="V20" s="20"/>
      <c r="W20" s="21"/>
      <c r="X20" s="15" t="str">
        <f t="shared" si="1"/>
        <v/>
      </c>
      <c r="Y20" s="15"/>
      <c r="Z20" s="15"/>
      <c r="AA20" s="15"/>
      <c r="AB20" s="15"/>
      <c r="AC20" s="15"/>
      <c r="AD20" s="15" t="str">
        <f t="shared" si="2"/>
        <v/>
      </c>
      <c r="AE20" s="15"/>
      <c r="AF20" s="15"/>
      <c r="AG20" s="15"/>
      <c r="AH20" s="15"/>
      <c r="AI20" s="15"/>
      <c r="AJ20" s="15"/>
      <c r="AK20" s="15"/>
      <c r="AL20" s="15"/>
      <c r="AM20" s="15"/>
      <c r="AN20" s="15"/>
    </row>
    <row r="21" spans="1:40" x14ac:dyDescent="0.3">
      <c r="A21" s="53"/>
      <c r="B21" s="53"/>
      <c r="C21" s="53"/>
      <c r="D21" s="22" t="str">
        <f t="shared" si="0"/>
        <v/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19"/>
      <c r="V21" s="20"/>
      <c r="W21" s="21"/>
      <c r="X21" s="15" t="str">
        <f t="shared" si="1"/>
        <v/>
      </c>
      <c r="Y21" s="15"/>
      <c r="Z21" s="15"/>
      <c r="AA21" s="15"/>
      <c r="AB21" s="15"/>
      <c r="AC21" s="15"/>
      <c r="AD21" s="15" t="str">
        <f t="shared" si="2"/>
        <v/>
      </c>
      <c r="AE21" s="15"/>
      <c r="AF21" s="15"/>
      <c r="AG21" s="15"/>
      <c r="AH21" s="15"/>
      <c r="AI21" s="15"/>
      <c r="AJ21" s="15"/>
      <c r="AK21" s="15"/>
      <c r="AL21" s="15"/>
      <c r="AM21" s="15"/>
      <c r="AN21" s="15"/>
    </row>
    <row r="22" spans="1:40" x14ac:dyDescent="0.3">
      <c r="A22" s="53"/>
      <c r="B22" s="53"/>
      <c r="C22" s="53"/>
      <c r="D22" s="22" t="str">
        <f t="shared" si="0"/>
        <v/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19"/>
      <c r="V22" s="20"/>
      <c r="W22" s="21"/>
      <c r="X22" s="15" t="str">
        <f t="shared" si="1"/>
        <v/>
      </c>
      <c r="Y22" s="15"/>
      <c r="Z22" s="15"/>
      <c r="AA22" s="15"/>
      <c r="AB22" s="15"/>
      <c r="AC22" s="15"/>
      <c r="AD22" s="15" t="str">
        <f t="shared" si="2"/>
        <v/>
      </c>
      <c r="AE22" s="15"/>
      <c r="AF22" s="15"/>
      <c r="AG22" s="15"/>
      <c r="AH22" s="15"/>
      <c r="AI22" s="15"/>
      <c r="AJ22" s="15"/>
      <c r="AK22" s="15"/>
      <c r="AL22" s="15"/>
      <c r="AM22" s="15"/>
      <c r="AN22" s="15"/>
    </row>
    <row r="23" spans="1:40" x14ac:dyDescent="0.3">
      <c r="A23" s="53"/>
      <c r="B23" s="53"/>
      <c r="C23" s="53"/>
      <c r="D23" s="22" t="str">
        <f t="shared" si="0"/>
        <v/>
      </c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19"/>
      <c r="V23" s="20"/>
      <c r="W23" s="21"/>
      <c r="X23" s="15" t="str">
        <f t="shared" si="1"/>
        <v/>
      </c>
      <c r="Y23" s="15"/>
      <c r="Z23" s="15"/>
      <c r="AA23" s="15"/>
      <c r="AB23" s="15"/>
      <c r="AC23" s="15"/>
      <c r="AD23" s="15" t="str">
        <f t="shared" si="2"/>
        <v/>
      </c>
      <c r="AE23" s="15"/>
      <c r="AF23" s="15"/>
      <c r="AG23" s="15"/>
      <c r="AH23" s="15"/>
      <c r="AI23" s="15"/>
      <c r="AJ23" s="15"/>
      <c r="AK23" s="15"/>
      <c r="AL23" s="15"/>
      <c r="AM23" s="15"/>
      <c r="AN23" s="15"/>
    </row>
    <row r="24" spans="1:40" x14ac:dyDescent="0.3">
      <c r="A24" s="53"/>
      <c r="B24" s="53"/>
      <c r="C24" s="53"/>
      <c r="D24" s="22" t="str">
        <f t="shared" si="0"/>
        <v/>
      </c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19"/>
      <c r="V24" s="20"/>
      <c r="W24" s="21"/>
      <c r="X24" s="15" t="str">
        <f t="shared" si="1"/>
        <v/>
      </c>
      <c r="Y24" s="15"/>
      <c r="Z24" s="15"/>
      <c r="AA24" s="15"/>
      <c r="AB24" s="15"/>
      <c r="AC24" s="15"/>
      <c r="AD24" s="15" t="str">
        <f t="shared" si="2"/>
        <v/>
      </c>
      <c r="AE24" s="15"/>
      <c r="AF24" s="15"/>
      <c r="AG24" s="15"/>
      <c r="AH24" s="15"/>
      <c r="AI24" s="15"/>
      <c r="AJ24" s="15"/>
      <c r="AK24" s="15"/>
      <c r="AL24" s="15"/>
      <c r="AM24" s="15"/>
      <c r="AN24" s="15"/>
    </row>
    <row r="25" spans="1:40" x14ac:dyDescent="0.3">
      <c r="A25" s="53"/>
      <c r="B25" s="53"/>
      <c r="C25" s="53"/>
      <c r="D25" s="22" t="str">
        <f t="shared" si="0"/>
        <v/>
      </c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19"/>
      <c r="V25" s="20"/>
      <c r="W25" s="21"/>
      <c r="X25" s="15" t="str">
        <f t="shared" si="1"/>
        <v/>
      </c>
      <c r="Y25" s="15"/>
      <c r="Z25" s="15"/>
      <c r="AA25" s="15"/>
      <c r="AB25" s="15"/>
      <c r="AC25" s="15"/>
      <c r="AD25" s="15" t="str">
        <f t="shared" si="2"/>
        <v/>
      </c>
      <c r="AE25" s="15"/>
      <c r="AF25" s="15"/>
      <c r="AG25" s="15"/>
      <c r="AH25" s="15"/>
      <c r="AI25" s="15"/>
      <c r="AJ25" s="15"/>
      <c r="AK25" s="15"/>
      <c r="AL25" s="15"/>
      <c r="AM25" s="15"/>
      <c r="AN25" s="15"/>
    </row>
    <row r="26" spans="1:40" x14ac:dyDescent="0.3">
      <c r="A26" s="53"/>
      <c r="B26" s="53"/>
      <c r="C26" s="53"/>
      <c r="D26" s="22" t="str">
        <f t="shared" si="0"/>
        <v/>
      </c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19"/>
      <c r="V26" s="20"/>
      <c r="W26" s="21"/>
      <c r="X26" s="15" t="str">
        <f>IF(A26="","",(VLOOKUP(A26,LISTA,4,FALSE)*VLOOKUP($A26,LISTA,3,FALSE)*U26))</f>
        <v/>
      </c>
      <c r="Y26" s="15"/>
      <c r="Z26" s="15"/>
      <c r="AA26" s="15"/>
      <c r="AB26" s="15"/>
      <c r="AC26" s="15"/>
      <c r="AD26" s="15" t="str">
        <f t="shared" si="2"/>
        <v/>
      </c>
      <c r="AE26" s="15"/>
      <c r="AF26" s="15"/>
      <c r="AG26" s="15"/>
      <c r="AH26" s="15"/>
      <c r="AI26" s="15"/>
      <c r="AJ26" s="15"/>
      <c r="AK26" s="15"/>
      <c r="AL26" s="15"/>
      <c r="AM26" s="15"/>
      <c r="AN26" s="15"/>
    </row>
    <row r="27" spans="1:40" x14ac:dyDescent="0.3">
      <c r="A27" s="53"/>
      <c r="B27" s="53"/>
      <c r="C27" s="53"/>
      <c r="D27" s="22" t="str">
        <f t="shared" si="0"/>
        <v/>
      </c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19"/>
      <c r="V27" s="20"/>
      <c r="W27" s="21"/>
      <c r="X27" s="15" t="str">
        <f t="shared" si="1"/>
        <v/>
      </c>
      <c r="Y27" s="15"/>
      <c r="Z27" s="15"/>
      <c r="AA27" s="15"/>
      <c r="AB27" s="15"/>
      <c r="AC27" s="15"/>
      <c r="AD27" s="15" t="str">
        <f t="shared" si="2"/>
        <v/>
      </c>
      <c r="AE27" s="15"/>
      <c r="AF27" s="15"/>
      <c r="AG27" s="15"/>
      <c r="AH27" s="15"/>
      <c r="AI27" s="15"/>
      <c r="AJ27" s="15"/>
      <c r="AK27" s="15"/>
      <c r="AL27" s="15"/>
      <c r="AM27" s="15"/>
      <c r="AN27" s="15"/>
    </row>
    <row r="28" spans="1:40" ht="20.25" customHeight="1" x14ac:dyDescent="0.3">
      <c r="A28" s="16" t="s">
        <v>21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7">
        <f>SUM(AD15:AN27)- SUM(X15:AC27)</f>
        <v>0</v>
      </c>
      <c r="AE28" s="17"/>
      <c r="AF28" s="17"/>
      <c r="AG28" s="17"/>
      <c r="AH28" s="17"/>
      <c r="AI28" s="17"/>
      <c r="AJ28" s="17"/>
      <c r="AK28" s="17"/>
      <c r="AL28" s="17"/>
      <c r="AM28" s="17"/>
      <c r="AN28" s="17"/>
    </row>
    <row r="29" spans="1:40" ht="18" customHeight="1" x14ac:dyDescent="0.3">
      <c r="A29" s="16" t="s">
        <v>22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7">
        <f>SUM(X15:AC27)</f>
        <v>0</v>
      </c>
      <c r="AE29" s="17"/>
      <c r="AF29" s="17"/>
      <c r="AG29" s="17"/>
      <c r="AH29" s="17"/>
      <c r="AI29" s="17"/>
      <c r="AJ29" s="17"/>
      <c r="AK29" s="17"/>
      <c r="AL29" s="17"/>
      <c r="AM29" s="17"/>
      <c r="AN29" s="17"/>
    </row>
    <row r="30" spans="1:40" ht="21" customHeight="1" x14ac:dyDescent="0.3">
      <c r="A30" s="16" t="s">
        <v>23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8">
        <f>SUM(AD28:AN29)</f>
        <v>0</v>
      </c>
      <c r="AE30" s="18"/>
      <c r="AF30" s="18"/>
      <c r="AG30" s="18"/>
      <c r="AH30" s="18"/>
      <c r="AI30" s="18"/>
      <c r="AJ30" s="18"/>
      <c r="AK30" s="18"/>
      <c r="AL30" s="18"/>
      <c r="AM30" s="18"/>
      <c r="AN30" s="18"/>
    </row>
    <row r="31" spans="1:40" ht="18" customHeight="1" x14ac:dyDescent="0.3">
      <c r="A31" s="16" t="s">
        <v>65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7">
        <f>IF(AD28&lt;1000000,+AD28-AD30*2%,IF(AD28&lt;5000000,+AD28-AD30*5%,IF(AD28&lt;10000000,+AD28-AD30*10%,IF(AD28&lt;30000000,+AD28-AD30*15%,IF(AD28&gt;30000000,+AD28-AD30*20%)))))</f>
        <v>0</v>
      </c>
      <c r="AE31" s="17"/>
      <c r="AF31" s="17"/>
      <c r="AG31" s="17"/>
      <c r="AH31" s="17"/>
      <c r="AI31" s="17"/>
      <c r="AJ31" s="17"/>
      <c r="AK31" s="17"/>
      <c r="AL31" s="17"/>
      <c r="AM31" s="17"/>
      <c r="AN31" s="17"/>
    </row>
    <row r="34" spans="2:5" x14ac:dyDescent="0.3">
      <c r="B34" s="30"/>
      <c r="C34" s="30"/>
      <c r="D34" s="30"/>
      <c r="E34" s="30"/>
    </row>
    <row r="35" spans="2:5" x14ac:dyDescent="0.3">
      <c r="B35" s="30"/>
      <c r="C35" s="30"/>
      <c r="D35" s="30"/>
      <c r="E35" s="30"/>
    </row>
  </sheetData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30:AC30"/>
    <mergeCell ref="X27:AC27"/>
    <mergeCell ref="U27:W27"/>
    <mergeCell ref="AD27:AN27"/>
    <mergeCell ref="D27:T27"/>
    <mergeCell ref="A27:C27"/>
    <mergeCell ref="X26:AC26"/>
    <mergeCell ref="AD26:AN26"/>
    <mergeCell ref="AD22:AN22"/>
    <mergeCell ref="AD23:AN23"/>
    <mergeCell ref="AD24:AN24"/>
    <mergeCell ref="AD25:AN25"/>
    <mergeCell ref="X23:AC23"/>
    <mergeCell ref="X24:AC24"/>
    <mergeCell ref="X25:AC25"/>
    <mergeCell ref="A31:AC31"/>
    <mergeCell ref="AD28:AN28"/>
    <mergeCell ref="AD29:AN29"/>
    <mergeCell ref="AD30:AN30"/>
    <mergeCell ref="AD31:AN31"/>
    <mergeCell ref="A28:AC28"/>
    <mergeCell ref="A29:AC29"/>
    <mergeCell ref="U26:W26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allowBlank="1" showInputMessage="1" showErrorMessage="1" sqref="U18:W18" xr:uid="{5A82537B-94C8-4938-B04D-33E01CBCDF30}">
      <formula1>"""ABC -""000"</formula1>
    </dataValidation>
  </dataValidations>
  <pageMargins left="0.70866141732283472" right="0.70866141732283472" top="0.78740157480314965" bottom="0.74803149606299213" header="0.31496062992125984" footer="0.31496062992125984"/>
  <pageSetup scale="8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38BF-C510-4FBD-BDD3-597EDBDD6E56}">
  <sheetPr codeName="Hoja5"/>
  <dimension ref="B2:AX24"/>
  <sheetViews>
    <sheetView tabSelected="1" workbookViewId="0">
      <selection activeCell="N26" sqref="N26"/>
    </sheetView>
  </sheetViews>
  <sheetFormatPr baseColWidth="10" defaultColWidth="3.44140625" defaultRowHeight="14.4" x14ac:dyDescent="0.3"/>
  <cols>
    <col min="8" max="8" width="3.44140625" customWidth="1"/>
  </cols>
  <sheetData>
    <row r="2" spans="2:50" x14ac:dyDescent="0.3">
      <c r="C2" s="34" t="s">
        <v>66</v>
      </c>
      <c r="D2" s="34"/>
      <c r="E2" s="34"/>
      <c r="F2" s="34"/>
      <c r="G2" s="34"/>
      <c r="H2" s="34"/>
      <c r="I2" s="34"/>
      <c r="J2" s="34"/>
      <c r="K2" s="34"/>
      <c r="L2" s="34"/>
      <c r="M2" s="34"/>
      <c r="O2" s="34" t="s">
        <v>66</v>
      </c>
      <c r="P2" s="34"/>
      <c r="Q2" s="34"/>
      <c r="R2" s="34"/>
      <c r="S2" s="34"/>
      <c r="T2" s="34"/>
      <c r="U2" s="34"/>
      <c r="V2" s="34"/>
      <c r="W2" s="34"/>
      <c r="X2" s="34"/>
      <c r="Y2" s="34"/>
      <c r="AA2" s="34" t="s">
        <v>66</v>
      </c>
      <c r="AB2" s="34"/>
      <c r="AC2" s="34"/>
      <c r="AD2" s="34"/>
      <c r="AE2" s="34"/>
      <c r="AF2" s="34"/>
      <c r="AG2" s="34"/>
      <c r="AH2" s="34"/>
      <c r="AI2" s="34"/>
      <c r="AJ2" s="34"/>
      <c r="AK2" s="34"/>
      <c r="AM2" s="34" t="s">
        <v>66</v>
      </c>
      <c r="AN2" s="34"/>
      <c r="AO2" s="34"/>
      <c r="AP2" s="34"/>
      <c r="AQ2" s="34"/>
      <c r="AR2" s="34"/>
      <c r="AS2" s="34"/>
      <c r="AT2" s="34"/>
      <c r="AU2" s="34"/>
      <c r="AV2" s="34"/>
      <c r="AW2" s="34"/>
    </row>
    <row r="3" spans="2:50" x14ac:dyDescent="0.3"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</row>
    <row r="4" spans="2:50" ht="15" thickBot="1" x14ac:dyDescent="0.35">
      <c r="B4" s="49"/>
      <c r="C4" s="33" t="s">
        <v>31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48"/>
      <c r="O4" s="33" t="s">
        <v>37</v>
      </c>
      <c r="P4" s="33"/>
      <c r="Q4" s="33"/>
      <c r="R4" s="33"/>
      <c r="S4" s="33"/>
      <c r="T4" s="33"/>
      <c r="U4" s="33"/>
      <c r="V4" s="33"/>
      <c r="W4" s="33"/>
      <c r="X4" s="33"/>
      <c r="Y4" s="33"/>
      <c r="Z4" s="48"/>
      <c r="AA4" s="33" t="s">
        <v>37</v>
      </c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48"/>
      <c r="AM4" s="33" t="s">
        <v>37</v>
      </c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48"/>
    </row>
    <row r="5" spans="2:50" x14ac:dyDescent="0.3">
      <c r="C5" s="59"/>
      <c r="D5" s="59"/>
      <c r="E5" s="59"/>
      <c r="F5" s="59"/>
      <c r="G5" s="60" t="s">
        <v>69</v>
      </c>
      <c r="H5" s="61"/>
      <c r="I5" s="62"/>
      <c r="J5" s="59"/>
      <c r="K5" s="59"/>
      <c r="L5" s="59"/>
      <c r="M5" s="59"/>
      <c r="O5" s="59"/>
      <c r="P5" s="59"/>
      <c r="Q5" s="59"/>
      <c r="R5" s="59"/>
      <c r="S5" s="60" t="s">
        <v>69</v>
      </c>
      <c r="T5" s="61"/>
      <c r="U5" s="62"/>
      <c r="V5" s="59"/>
      <c r="W5" s="59"/>
      <c r="X5" s="59"/>
      <c r="Y5" s="59"/>
      <c r="AA5" s="59"/>
      <c r="AB5" s="59"/>
      <c r="AC5" s="59"/>
      <c r="AD5" s="59"/>
      <c r="AE5" s="60" t="s">
        <v>69</v>
      </c>
      <c r="AF5" s="61"/>
      <c r="AG5" s="62"/>
      <c r="AH5" s="59"/>
      <c r="AI5" s="59"/>
      <c r="AJ5" s="59"/>
      <c r="AK5" s="59"/>
      <c r="AM5" s="59"/>
      <c r="AN5" s="59"/>
      <c r="AO5" s="59"/>
      <c r="AP5" s="59"/>
      <c r="AQ5" s="60" t="s">
        <v>69</v>
      </c>
      <c r="AR5" s="61"/>
      <c r="AS5" s="62"/>
      <c r="AT5" s="59"/>
      <c r="AU5" s="59"/>
      <c r="AV5" s="59"/>
      <c r="AW5" s="59"/>
    </row>
    <row r="6" spans="2:50" x14ac:dyDescent="0.3">
      <c r="C6" s="59"/>
      <c r="D6" s="59"/>
      <c r="E6" s="59"/>
      <c r="F6" s="59"/>
      <c r="G6" s="63"/>
      <c r="H6" s="64"/>
      <c r="I6" s="65"/>
      <c r="J6" s="59"/>
      <c r="K6" s="59"/>
      <c r="L6" s="59"/>
      <c r="M6" s="59"/>
      <c r="O6" s="59"/>
      <c r="P6" s="59"/>
      <c r="Q6" s="59"/>
      <c r="R6" s="59"/>
      <c r="S6" s="63"/>
      <c r="T6" s="64"/>
      <c r="U6" s="65"/>
      <c r="V6" s="59"/>
      <c r="W6" s="59"/>
      <c r="X6" s="59"/>
      <c r="Y6" s="59"/>
      <c r="AA6" s="59"/>
      <c r="AB6" s="59"/>
      <c r="AC6" s="59"/>
      <c r="AD6" s="59"/>
      <c r="AE6" s="63"/>
      <c r="AF6" s="64"/>
      <c r="AG6" s="65"/>
      <c r="AH6" s="59"/>
      <c r="AI6" s="59"/>
      <c r="AJ6" s="59"/>
      <c r="AK6" s="59"/>
      <c r="AM6" s="59"/>
      <c r="AN6" s="59"/>
      <c r="AO6" s="59"/>
      <c r="AP6" s="59"/>
      <c r="AQ6" s="63"/>
      <c r="AR6" s="64"/>
      <c r="AS6" s="65"/>
      <c r="AT6" s="59"/>
      <c r="AU6" s="59"/>
      <c r="AV6" s="59"/>
      <c r="AW6" s="59"/>
    </row>
    <row r="7" spans="2:50" x14ac:dyDescent="0.3">
      <c r="C7" s="35"/>
      <c r="D7" s="35"/>
      <c r="E7" s="35"/>
      <c r="F7" s="36"/>
      <c r="G7" s="37">
        <v>9</v>
      </c>
      <c r="H7" s="37"/>
      <c r="I7" s="37"/>
      <c r="J7" s="38"/>
      <c r="K7" s="39"/>
      <c r="L7" s="39"/>
      <c r="M7" s="39"/>
      <c r="O7" s="35"/>
      <c r="P7" s="35"/>
      <c r="Q7" s="35"/>
      <c r="R7" s="36"/>
      <c r="S7" s="37">
        <v>9</v>
      </c>
      <c r="T7" s="37"/>
      <c r="U7" s="37"/>
      <c r="V7" s="38"/>
      <c r="W7" s="39"/>
      <c r="X7" s="39"/>
      <c r="Y7" s="39"/>
      <c r="AA7" s="35"/>
      <c r="AB7" s="35"/>
      <c r="AC7" s="35"/>
      <c r="AD7" s="36"/>
      <c r="AE7" s="37">
        <v>8</v>
      </c>
      <c r="AF7" s="37"/>
      <c r="AG7" s="37"/>
      <c r="AH7" s="38"/>
      <c r="AI7" s="39"/>
      <c r="AJ7" s="39"/>
      <c r="AK7" s="39"/>
      <c r="AM7" s="35"/>
      <c r="AN7" s="35"/>
      <c r="AO7" s="35"/>
      <c r="AP7" s="36"/>
      <c r="AQ7" s="37">
        <v>7</v>
      </c>
      <c r="AR7" s="37"/>
      <c r="AS7" s="37"/>
      <c r="AT7" s="38"/>
      <c r="AU7" s="39"/>
      <c r="AV7" s="39"/>
      <c r="AW7" s="39"/>
    </row>
    <row r="8" spans="2:50" x14ac:dyDescent="0.3">
      <c r="C8" s="66"/>
      <c r="D8" s="67"/>
      <c r="E8" s="67"/>
      <c r="F8" s="68"/>
      <c r="G8" s="66" t="s">
        <v>67</v>
      </c>
      <c r="H8" s="67"/>
      <c r="I8" s="68"/>
      <c r="J8" s="66"/>
      <c r="K8" s="67"/>
      <c r="L8" s="67"/>
      <c r="M8" s="68"/>
      <c r="O8" s="66"/>
      <c r="P8" s="67"/>
      <c r="Q8" s="67"/>
      <c r="R8" s="68"/>
      <c r="S8" s="66" t="s">
        <v>67</v>
      </c>
      <c r="T8" s="67"/>
      <c r="U8" s="68"/>
      <c r="V8" s="66"/>
      <c r="W8" s="67"/>
      <c r="X8" s="67"/>
      <c r="Y8" s="68"/>
      <c r="AA8" s="66"/>
      <c r="AB8" s="67"/>
      <c r="AC8" s="67"/>
      <c r="AD8" s="68"/>
      <c r="AE8" s="66" t="s">
        <v>67</v>
      </c>
      <c r="AF8" s="67"/>
      <c r="AG8" s="68"/>
      <c r="AH8" s="66"/>
      <c r="AI8" s="67"/>
      <c r="AJ8" s="67"/>
      <c r="AK8" s="68"/>
      <c r="AM8" s="66"/>
      <c r="AN8" s="67"/>
      <c r="AO8" s="67"/>
      <c r="AP8" s="68"/>
      <c r="AQ8" s="66" t="s">
        <v>67</v>
      </c>
      <c r="AR8" s="67"/>
      <c r="AS8" s="68"/>
      <c r="AT8" s="66"/>
      <c r="AU8" s="67"/>
      <c r="AV8" s="67"/>
      <c r="AW8" s="68"/>
    </row>
    <row r="9" spans="2:50" x14ac:dyDescent="0.3">
      <c r="C9" s="69"/>
      <c r="D9" s="70"/>
      <c r="E9" s="70"/>
      <c r="F9" s="71"/>
      <c r="G9" s="69"/>
      <c r="H9" s="70"/>
      <c r="I9" s="71"/>
      <c r="J9" s="69"/>
      <c r="K9" s="70"/>
      <c r="L9" s="70"/>
      <c r="M9" s="71"/>
      <c r="O9" s="69"/>
      <c r="P9" s="70"/>
      <c r="Q9" s="70"/>
      <c r="R9" s="71"/>
      <c r="S9" s="69"/>
      <c r="T9" s="70"/>
      <c r="U9" s="71"/>
      <c r="V9" s="69"/>
      <c r="W9" s="70"/>
      <c r="X9" s="70"/>
      <c r="Y9" s="71"/>
      <c r="AA9" s="69"/>
      <c r="AB9" s="70"/>
      <c r="AC9" s="70"/>
      <c r="AD9" s="71"/>
      <c r="AE9" s="69"/>
      <c r="AF9" s="70"/>
      <c r="AG9" s="71"/>
      <c r="AH9" s="69"/>
      <c r="AI9" s="70"/>
      <c r="AJ9" s="70"/>
      <c r="AK9" s="71"/>
      <c r="AM9" s="69"/>
      <c r="AN9" s="70"/>
      <c r="AO9" s="70"/>
      <c r="AP9" s="71"/>
      <c r="AQ9" s="69"/>
      <c r="AR9" s="70"/>
      <c r="AS9" s="71"/>
      <c r="AT9" s="69"/>
      <c r="AU9" s="70"/>
      <c r="AV9" s="70"/>
      <c r="AW9" s="71"/>
    </row>
    <row r="10" spans="2:50" x14ac:dyDescent="0.3">
      <c r="C10" s="40"/>
      <c r="D10" s="40"/>
      <c r="E10" s="40"/>
      <c r="F10" s="41"/>
      <c r="G10" s="50">
        <v>44779</v>
      </c>
      <c r="H10" s="51"/>
      <c r="I10" s="52"/>
      <c r="J10" s="42"/>
      <c r="K10" s="40"/>
      <c r="L10" s="40"/>
      <c r="M10" s="40"/>
      <c r="O10" s="40"/>
      <c r="P10" s="40"/>
      <c r="Q10" s="40"/>
      <c r="R10" s="41"/>
      <c r="S10" s="50">
        <v>44779</v>
      </c>
      <c r="T10" s="51"/>
      <c r="U10" s="52"/>
      <c r="V10" s="42"/>
      <c r="W10" s="40"/>
      <c r="X10" s="40"/>
      <c r="Y10" s="40"/>
      <c r="AA10" s="40"/>
      <c r="AB10" s="40"/>
      <c r="AC10" s="40"/>
      <c r="AD10" s="41"/>
      <c r="AE10" s="50">
        <v>44779</v>
      </c>
      <c r="AF10" s="51"/>
      <c r="AG10" s="52"/>
      <c r="AH10" s="42"/>
      <c r="AI10" s="40"/>
      <c r="AJ10" s="40"/>
      <c r="AK10" s="40"/>
      <c r="AM10" s="40"/>
      <c r="AN10" s="40"/>
      <c r="AO10" s="40"/>
      <c r="AP10" s="41"/>
      <c r="AQ10" s="50">
        <v>44779</v>
      </c>
      <c r="AR10" s="51"/>
      <c r="AS10" s="52"/>
      <c r="AT10" s="42"/>
      <c r="AU10" s="40"/>
      <c r="AV10" s="40"/>
      <c r="AW10" s="40"/>
    </row>
    <row r="11" spans="2:50" x14ac:dyDescent="0.3">
      <c r="C11" s="72"/>
      <c r="D11" s="73"/>
      <c r="E11" s="73"/>
      <c r="F11" s="74"/>
      <c r="G11" s="72" t="s">
        <v>68</v>
      </c>
      <c r="H11" s="73"/>
      <c r="I11" s="74"/>
      <c r="J11" s="72"/>
      <c r="K11" s="73"/>
      <c r="L11" s="73"/>
      <c r="M11" s="74"/>
      <c r="O11" s="72"/>
      <c r="P11" s="73"/>
      <c r="Q11" s="73"/>
      <c r="R11" s="74"/>
      <c r="S11" s="72" t="s">
        <v>68</v>
      </c>
      <c r="T11" s="73"/>
      <c r="U11" s="74"/>
      <c r="V11" s="72"/>
      <c r="W11" s="73"/>
      <c r="X11" s="73"/>
      <c r="Y11" s="74"/>
      <c r="AA11" s="72"/>
      <c r="AB11" s="73"/>
      <c r="AC11" s="73"/>
      <c r="AD11" s="74"/>
      <c r="AE11" s="72" t="s">
        <v>68</v>
      </c>
      <c r="AF11" s="73"/>
      <c r="AG11" s="74"/>
      <c r="AH11" s="72"/>
      <c r="AI11" s="73"/>
      <c r="AJ11" s="73"/>
      <c r="AK11" s="74"/>
      <c r="AM11" s="72"/>
      <c r="AN11" s="73"/>
      <c r="AO11" s="73"/>
      <c r="AP11" s="74"/>
      <c r="AQ11" s="72" t="s">
        <v>68</v>
      </c>
      <c r="AR11" s="73"/>
      <c r="AS11" s="74"/>
      <c r="AT11" s="72"/>
      <c r="AU11" s="73"/>
      <c r="AV11" s="73"/>
      <c r="AW11" s="74"/>
    </row>
    <row r="12" spans="2:50" x14ac:dyDescent="0.3">
      <c r="C12" s="43"/>
      <c r="D12" s="44"/>
      <c r="E12" s="44"/>
      <c r="F12" s="44"/>
      <c r="G12" s="54" t="s">
        <v>17</v>
      </c>
      <c r="H12" s="54"/>
      <c r="I12" s="54"/>
      <c r="J12" s="45"/>
      <c r="K12" s="46"/>
      <c r="L12" s="46"/>
      <c r="M12" s="46"/>
      <c r="O12" s="43"/>
      <c r="P12" s="44"/>
      <c r="Q12" s="44"/>
      <c r="R12" s="44"/>
      <c r="S12" s="54" t="s">
        <v>17</v>
      </c>
      <c r="T12" s="54"/>
      <c r="U12" s="54"/>
      <c r="V12" s="45"/>
      <c r="W12" s="46"/>
      <c r="X12" s="46"/>
      <c r="Y12" s="46"/>
      <c r="AA12" s="43"/>
      <c r="AB12" s="44"/>
      <c r="AC12" s="44"/>
      <c r="AD12" s="44"/>
      <c r="AE12" s="54" t="s">
        <v>15</v>
      </c>
      <c r="AF12" s="54"/>
      <c r="AG12" s="54"/>
      <c r="AH12" s="45"/>
      <c r="AI12" s="46"/>
      <c r="AJ12" s="46"/>
      <c r="AK12" s="46"/>
      <c r="AM12" s="43"/>
      <c r="AN12" s="44"/>
      <c r="AO12" s="44"/>
      <c r="AP12" s="44"/>
      <c r="AQ12" s="54" t="s">
        <v>17</v>
      </c>
      <c r="AR12" s="54"/>
      <c r="AS12" s="54"/>
      <c r="AT12" s="45"/>
      <c r="AU12" s="46"/>
      <c r="AV12" s="46"/>
      <c r="AW12" s="46"/>
    </row>
    <row r="13" spans="2:50" x14ac:dyDescent="0.3">
      <c r="C13" s="43"/>
      <c r="D13" s="44"/>
      <c r="E13" s="44"/>
      <c r="F13" s="44"/>
      <c r="G13" s="54"/>
      <c r="H13" s="54"/>
      <c r="I13" s="54"/>
      <c r="J13" s="45"/>
      <c r="K13" s="46"/>
      <c r="L13" s="46"/>
      <c r="M13" s="46"/>
      <c r="O13" s="43"/>
      <c r="P13" s="44"/>
      <c r="Q13" s="44"/>
      <c r="R13" s="44"/>
      <c r="S13" s="54"/>
      <c r="T13" s="54"/>
      <c r="U13" s="54"/>
      <c r="V13" s="45"/>
      <c r="W13" s="46"/>
      <c r="X13" s="46"/>
      <c r="Y13" s="46"/>
      <c r="AA13" s="43"/>
      <c r="AB13" s="44"/>
      <c r="AC13" s="44"/>
      <c r="AD13" s="44"/>
      <c r="AE13" s="54"/>
      <c r="AF13" s="54"/>
      <c r="AG13" s="54"/>
      <c r="AH13" s="45"/>
      <c r="AI13" s="46"/>
      <c r="AJ13" s="46"/>
      <c r="AK13" s="46"/>
      <c r="AM13" s="43"/>
      <c r="AN13" s="44"/>
      <c r="AO13" s="44"/>
      <c r="AP13" s="44"/>
      <c r="AQ13" s="54"/>
      <c r="AR13" s="54"/>
      <c r="AS13" s="54"/>
      <c r="AT13" s="45"/>
      <c r="AU13" s="46"/>
      <c r="AV13" s="46"/>
      <c r="AW13" s="46"/>
    </row>
    <row r="14" spans="2:50" x14ac:dyDescent="0.3">
      <c r="C14" s="43"/>
      <c r="D14" s="44"/>
      <c r="E14" s="44"/>
      <c r="F14" s="44"/>
      <c r="G14" s="54"/>
      <c r="H14" s="54"/>
      <c r="I14" s="54"/>
      <c r="J14" s="45"/>
      <c r="K14" s="46"/>
      <c r="L14" s="46"/>
      <c r="M14" s="46"/>
      <c r="O14" s="43"/>
      <c r="P14" s="44"/>
      <c r="Q14" s="44"/>
      <c r="R14" s="44"/>
      <c r="S14" s="54"/>
      <c r="T14" s="54"/>
      <c r="U14" s="54"/>
      <c r="V14" s="45"/>
      <c r="W14" s="46"/>
      <c r="X14" s="46"/>
      <c r="Y14" s="46"/>
      <c r="AA14" s="43"/>
      <c r="AB14" s="44"/>
      <c r="AC14" s="44"/>
      <c r="AD14" s="44"/>
      <c r="AE14" s="54"/>
      <c r="AF14" s="54"/>
      <c r="AG14" s="54"/>
      <c r="AH14" s="45"/>
      <c r="AI14" s="46"/>
      <c r="AJ14" s="46"/>
      <c r="AK14" s="46"/>
      <c r="AM14" s="43"/>
      <c r="AN14" s="44"/>
      <c r="AO14" s="44"/>
      <c r="AP14" s="44"/>
      <c r="AQ14" s="54"/>
      <c r="AR14" s="54"/>
      <c r="AS14" s="54"/>
      <c r="AT14" s="45"/>
      <c r="AU14" s="46"/>
      <c r="AV14" s="46"/>
      <c r="AW14" s="46"/>
    </row>
    <row r="15" spans="2:50" x14ac:dyDescent="0.3">
      <c r="C15" s="43"/>
      <c r="D15" s="44"/>
      <c r="E15" s="44"/>
      <c r="F15" s="44"/>
      <c r="G15" s="54"/>
      <c r="H15" s="54"/>
      <c r="I15" s="54"/>
      <c r="J15" s="45"/>
      <c r="K15" s="46"/>
      <c r="L15" s="46"/>
      <c r="M15" s="46"/>
      <c r="O15" s="43"/>
      <c r="P15" s="44"/>
      <c r="Q15" s="44"/>
      <c r="R15" s="44"/>
      <c r="S15" s="54"/>
      <c r="T15" s="54"/>
      <c r="U15" s="54"/>
      <c r="V15" s="45"/>
      <c r="W15" s="46"/>
      <c r="X15" s="46"/>
      <c r="Y15" s="46"/>
      <c r="AA15" s="43"/>
      <c r="AB15" s="44"/>
      <c r="AC15" s="44"/>
      <c r="AD15" s="44"/>
      <c r="AE15" s="54"/>
      <c r="AF15" s="54"/>
      <c r="AG15" s="54"/>
      <c r="AH15" s="45"/>
      <c r="AI15" s="46"/>
      <c r="AJ15" s="46"/>
      <c r="AK15" s="46"/>
      <c r="AM15" s="43"/>
      <c r="AN15" s="44"/>
      <c r="AO15" s="44"/>
      <c r="AP15" s="44"/>
      <c r="AQ15" s="54"/>
      <c r="AR15" s="54"/>
      <c r="AS15" s="54"/>
      <c r="AT15" s="45"/>
      <c r="AU15" s="46"/>
      <c r="AV15" s="46"/>
      <c r="AW15" s="46"/>
    </row>
    <row r="16" spans="2:50" x14ac:dyDescent="0.3">
      <c r="C16" s="43"/>
      <c r="D16" s="44"/>
      <c r="E16" s="44"/>
      <c r="F16" s="44"/>
      <c r="G16" s="54"/>
      <c r="H16" s="54"/>
      <c r="I16" s="54"/>
      <c r="J16" s="45"/>
      <c r="K16" s="46"/>
      <c r="L16" s="46"/>
      <c r="M16" s="46"/>
      <c r="O16" s="43"/>
      <c r="P16" s="44"/>
      <c r="Q16" s="44"/>
      <c r="R16" s="44"/>
      <c r="S16" s="54"/>
      <c r="T16" s="54"/>
      <c r="U16" s="54"/>
      <c r="V16" s="45"/>
      <c r="W16" s="46"/>
      <c r="X16" s="46"/>
      <c r="Y16" s="46"/>
      <c r="AA16" s="43"/>
      <c r="AB16" s="44"/>
      <c r="AC16" s="44"/>
      <c r="AD16" s="44"/>
      <c r="AE16" s="54"/>
      <c r="AF16" s="54"/>
      <c r="AG16" s="54"/>
      <c r="AH16" s="45"/>
      <c r="AI16" s="46"/>
      <c r="AJ16" s="46"/>
      <c r="AK16" s="46"/>
      <c r="AM16" s="43"/>
      <c r="AN16" s="44"/>
      <c r="AO16" s="44"/>
      <c r="AP16" s="44"/>
      <c r="AQ16" s="54"/>
      <c r="AR16" s="54"/>
      <c r="AS16" s="54"/>
      <c r="AT16" s="45"/>
      <c r="AU16" s="46"/>
      <c r="AV16" s="46"/>
      <c r="AW16" s="46"/>
    </row>
    <row r="17" spans="3:49" x14ac:dyDescent="0.3">
      <c r="C17" s="43"/>
      <c r="D17" s="44"/>
      <c r="E17" s="44"/>
      <c r="F17" s="44"/>
      <c r="G17" s="54"/>
      <c r="H17" s="54"/>
      <c r="I17" s="54"/>
      <c r="J17" s="45"/>
      <c r="K17" s="46"/>
      <c r="L17" s="46"/>
      <c r="M17" s="46"/>
      <c r="O17" s="43"/>
      <c r="P17" s="44"/>
      <c r="Q17" s="44"/>
      <c r="R17" s="44"/>
      <c r="S17" s="54"/>
      <c r="T17" s="54"/>
      <c r="U17" s="54"/>
      <c r="V17" s="45"/>
      <c r="W17" s="46"/>
      <c r="X17" s="46"/>
      <c r="Y17" s="46"/>
      <c r="AA17" s="43"/>
      <c r="AB17" s="44"/>
      <c r="AC17" s="44"/>
      <c r="AD17" s="44"/>
      <c r="AE17" s="54"/>
      <c r="AF17" s="54"/>
      <c r="AG17" s="54"/>
      <c r="AH17" s="45"/>
      <c r="AI17" s="46"/>
      <c r="AJ17" s="46"/>
      <c r="AK17" s="46"/>
      <c r="AM17" s="43"/>
      <c r="AN17" s="44"/>
      <c r="AO17" s="44"/>
      <c r="AP17" s="44"/>
      <c r="AQ17" s="54"/>
      <c r="AR17" s="54"/>
      <c r="AS17" s="54"/>
      <c r="AT17" s="45"/>
      <c r="AU17" s="46"/>
      <c r="AV17" s="46"/>
      <c r="AW17" s="46"/>
    </row>
    <row r="18" spans="3:49" x14ac:dyDescent="0.3">
      <c r="C18" s="43"/>
      <c r="D18" s="44"/>
      <c r="E18" s="44"/>
      <c r="F18" s="44"/>
      <c r="G18" s="54"/>
      <c r="H18" s="54"/>
      <c r="I18" s="54"/>
      <c r="J18" s="45"/>
      <c r="K18" s="46"/>
      <c r="L18" s="46"/>
      <c r="M18" s="46"/>
      <c r="O18" s="43"/>
      <c r="P18" s="44"/>
      <c r="Q18" s="44"/>
      <c r="R18" s="44"/>
      <c r="S18" s="54"/>
      <c r="T18" s="54"/>
      <c r="U18" s="54"/>
      <c r="V18" s="45"/>
      <c r="W18" s="46"/>
      <c r="X18" s="46"/>
      <c r="Y18" s="46"/>
      <c r="AA18" s="43"/>
      <c r="AB18" s="44"/>
      <c r="AC18" s="44"/>
      <c r="AD18" s="44"/>
      <c r="AE18" s="54"/>
      <c r="AF18" s="54"/>
      <c r="AG18" s="54"/>
      <c r="AH18" s="45"/>
      <c r="AI18" s="46"/>
      <c r="AJ18" s="46"/>
      <c r="AK18" s="46"/>
      <c r="AM18" s="43"/>
      <c r="AN18" s="44"/>
      <c r="AO18" s="44"/>
      <c r="AP18" s="44"/>
      <c r="AQ18" s="54"/>
      <c r="AR18" s="54"/>
      <c r="AS18" s="54"/>
      <c r="AT18" s="45"/>
      <c r="AU18" s="46"/>
      <c r="AV18" s="46"/>
      <c r="AW18" s="46"/>
    </row>
    <row r="19" spans="3:49" x14ac:dyDescent="0.3">
      <c r="C19" s="43"/>
      <c r="D19" s="44"/>
      <c r="E19" s="44"/>
      <c r="F19" s="44"/>
      <c r="G19" s="54" t="s">
        <v>13</v>
      </c>
      <c r="H19" s="54"/>
      <c r="I19" s="54"/>
      <c r="J19" s="45"/>
      <c r="K19" s="46"/>
      <c r="L19" s="46"/>
      <c r="M19" s="46"/>
      <c r="O19" s="43"/>
      <c r="P19" s="44"/>
      <c r="Q19" s="44"/>
      <c r="R19" s="44"/>
      <c r="S19" s="54"/>
      <c r="T19" s="54"/>
      <c r="U19" s="54"/>
      <c r="V19" s="45"/>
      <c r="W19" s="46"/>
      <c r="X19" s="46"/>
      <c r="Y19" s="46"/>
      <c r="AA19" s="43"/>
      <c r="AB19" s="44"/>
      <c r="AC19" s="44"/>
      <c r="AD19" s="44"/>
      <c r="AE19" s="54"/>
      <c r="AF19" s="54"/>
      <c r="AG19" s="54"/>
      <c r="AH19" s="45"/>
      <c r="AI19" s="46"/>
      <c r="AJ19" s="46"/>
      <c r="AK19" s="46"/>
      <c r="AM19" s="43"/>
      <c r="AN19" s="44"/>
      <c r="AO19" s="44"/>
      <c r="AP19" s="44"/>
      <c r="AQ19" s="54"/>
      <c r="AR19" s="54"/>
      <c r="AS19" s="54"/>
      <c r="AT19" s="45"/>
      <c r="AU19" s="46"/>
      <c r="AV19" s="46"/>
      <c r="AW19" s="46"/>
    </row>
    <row r="20" spans="3:49" x14ac:dyDescent="0.3">
      <c r="C20" s="43"/>
      <c r="D20" s="44"/>
      <c r="E20" s="44"/>
      <c r="F20" s="44"/>
      <c r="G20" s="54"/>
      <c r="H20" s="54"/>
      <c r="I20" s="54"/>
      <c r="J20" s="45"/>
      <c r="K20" s="46"/>
      <c r="L20" s="46"/>
      <c r="M20" s="46"/>
      <c r="O20" s="43"/>
      <c r="P20" s="44"/>
      <c r="Q20" s="44"/>
      <c r="R20" s="44"/>
      <c r="S20" s="54"/>
      <c r="T20" s="54"/>
      <c r="U20" s="54"/>
      <c r="V20" s="45"/>
      <c r="W20" s="46"/>
      <c r="X20" s="46"/>
      <c r="Y20" s="46"/>
      <c r="AA20" s="43"/>
      <c r="AB20" s="44"/>
      <c r="AC20" s="44"/>
      <c r="AD20" s="44"/>
      <c r="AE20" s="54"/>
      <c r="AF20" s="54"/>
      <c r="AG20" s="54"/>
      <c r="AH20" s="45"/>
      <c r="AI20" s="46"/>
      <c r="AJ20" s="46"/>
      <c r="AK20" s="46"/>
      <c r="AM20" s="43"/>
      <c r="AN20" s="44"/>
      <c r="AO20" s="44"/>
      <c r="AP20" s="44"/>
      <c r="AQ20" s="54"/>
      <c r="AR20" s="54"/>
      <c r="AS20" s="54"/>
      <c r="AT20" s="45"/>
      <c r="AU20" s="46"/>
      <c r="AV20" s="46"/>
      <c r="AW20" s="46"/>
    </row>
    <row r="21" spans="3:49" x14ac:dyDescent="0.3">
      <c r="C21" s="43"/>
      <c r="D21" s="44"/>
      <c r="E21" s="44"/>
      <c r="F21" s="44"/>
      <c r="G21" s="54"/>
      <c r="H21" s="54"/>
      <c r="I21" s="54"/>
      <c r="J21" s="45"/>
      <c r="K21" s="46"/>
      <c r="L21" s="46"/>
      <c r="M21" s="46"/>
      <c r="O21" s="43"/>
      <c r="P21" s="44"/>
      <c r="Q21" s="44"/>
      <c r="R21" s="44"/>
      <c r="S21" s="54"/>
      <c r="T21" s="54"/>
      <c r="U21" s="54"/>
      <c r="V21" s="45"/>
      <c r="W21" s="46"/>
      <c r="X21" s="46"/>
      <c r="Y21" s="46"/>
      <c r="AA21" s="43"/>
      <c r="AB21" s="44"/>
      <c r="AC21" s="44"/>
      <c r="AD21" s="44"/>
      <c r="AE21" s="54"/>
      <c r="AF21" s="54"/>
      <c r="AG21" s="54"/>
      <c r="AH21" s="45"/>
      <c r="AI21" s="46"/>
      <c r="AJ21" s="46"/>
      <c r="AK21" s="46"/>
      <c r="AM21" s="43"/>
      <c r="AN21" s="44"/>
      <c r="AO21" s="44"/>
      <c r="AP21" s="44"/>
      <c r="AQ21" s="54"/>
      <c r="AR21" s="54"/>
      <c r="AS21" s="54"/>
      <c r="AT21" s="45"/>
      <c r="AU21" s="46"/>
      <c r="AV21" s="46"/>
      <c r="AW21" s="46"/>
    </row>
    <row r="22" spans="3:49" x14ac:dyDescent="0.3">
      <c r="C22" s="43"/>
      <c r="D22" s="44"/>
      <c r="E22" s="44"/>
      <c r="F22" s="44"/>
      <c r="G22" s="54"/>
      <c r="H22" s="54"/>
      <c r="I22" s="54"/>
      <c r="J22" s="45"/>
      <c r="K22" s="46"/>
      <c r="L22" s="46"/>
      <c r="M22" s="46"/>
      <c r="O22" s="43"/>
      <c r="P22" s="44"/>
      <c r="Q22" s="44"/>
      <c r="R22" s="44"/>
      <c r="S22" s="54"/>
      <c r="T22" s="54"/>
      <c r="U22" s="54"/>
      <c r="V22" s="45"/>
      <c r="W22" s="46"/>
      <c r="X22" s="46"/>
      <c r="Y22" s="46"/>
      <c r="AA22" s="43"/>
      <c r="AB22" s="44"/>
      <c r="AC22" s="44"/>
      <c r="AD22" s="44"/>
      <c r="AE22" s="54"/>
      <c r="AF22" s="54"/>
      <c r="AG22" s="54"/>
      <c r="AH22" s="45"/>
      <c r="AI22" s="46"/>
      <c r="AJ22" s="46"/>
      <c r="AK22" s="46"/>
      <c r="AM22" s="43"/>
      <c r="AN22" s="44"/>
      <c r="AO22" s="44"/>
      <c r="AP22" s="44"/>
      <c r="AQ22" s="54"/>
      <c r="AR22" s="54"/>
      <c r="AS22" s="54"/>
      <c r="AT22" s="45"/>
      <c r="AU22" s="46"/>
      <c r="AV22" s="46"/>
      <c r="AW22" s="46"/>
    </row>
    <row r="23" spans="3:49" x14ac:dyDescent="0.3">
      <c r="C23" s="43"/>
      <c r="D23" s="44"/>
      <c r="E23" s="44"/>
      <c r="F23" s="44"/>
      <c r="G23" s="54"/>
      <c r="H23" s="54"/>
      <c r="I23" s="54"/>
      <c r="J23" s="45"/>
      <c r="K23" s="46"/>
      <c r="L23" s="46"/>
      <c r="M23" s="46"/>
      <c r="O23" s="43"/>
      <c r="P23" s="44"/>
      <c r="Q23" s="44"/>
      <c r="R23" s="44"/>
      <c r="S23" s="54"/>
      <c r="T23" s="54"/>
      <c r="U23" s="54"/>
      <c r="V23" s="45"/>
      <c r="W23" s="46"/>
      <c r="X23" s="46"/>
      <c r="Y23" s="46"/>
      <c r="AA23" s="43"/>
      <c r="AB23" s="44"/>
      <c r="AC23" s="44"/>
      <c r="AD23" s="44"/>
      <c r="AE23" s="54"/>
      <c r="AF23" s="54"/>
      <c r="AG23" s="54"/>
      <c r="AH23" s="45"/>
      <c r="AI23" s="46"/>
      <c r="AJ23" s="46"/>
      <c r="AK23" s="46"/>
      <c r="AM23" s="43"/>
      <c r="AN23" s="44"/>
      <c r="AO23" s="44"/>
      <c r="AP23" s="44"/>
      <c r="AQ23" s="54"/>
      <c r="AR23" s="54"/>
      <c r="AS23" s="54"/>
      <c r="AT23" s="45"/>
      <c r="AU23" s="46"/>
      <c r="AV23" s="46"/>
      <c r="AW23" s="46"/>
    </row>
    <row r="24" spans="3:49" x14ac:dyDescent="0.3">
      <c r="C24" s="43"/>
      <c r="D24" s="44"/>
      <c r="E24" s="44"/>
      <c r="F24" s="44"/>
      <c r="G24" s="54"/>
      <c r="H24" s="54"/>
      <c r="I24" s="54"/>
      <c r="J24" s="45"/>
      <c r="K24" s="46"/>
      <c r="L24" s="46"/>
      <c r="M24" s="46"/>
      <c r="O24" s="43"/>
      <c r="P24" s="44"/>
      <c r="Q24" s="44"/>
      <c r="R24" s="44"/>
      <c r="S24" s="54"/>
      <c r="T24" s="54"/>
      <c r="U24" s="54"/>
      <c r="V24" s="45"/>
      <c r="W24" s="46"/>
      <c r="X24" s="46"/>
      <c r="Y24" s="46"/>
      <c r="AA24" s="43"/>
      <c r="AB24" s="44"/>
      <c r="AC24" s="44"/>
      <c r="AD24" s="44"/>
      <c r="AE24" s="54"/>
      <c r="AF24" s="54"/>
      <c r="AG24" s="54"/>
      <c r="AH24" s="45"/>
      <c r="AI24" s="46"/>
      <c r="AJ24" s="46"/>
      <c r="AK24" s="46"/>
      <c r="AM24" s="43"/>
      <c r="AN24" s="44"/>
      <c r="AO24" s="44"/>
      <c r="AP24" s="44"/>
      <c r="AQ24" s="54"/>
      <c r="AR24" s="54"/>
      <c r="AS24" s="54"/>
      <c r="AT24" s="45"/>
      <c r="AU24" s="46"/>
      <c r="AV24" s="46"/>
      <c r="AW24" s="46"/>
    </row>
  </sheetData>
  <mergeCells count="216">
    <mergeCell ref="C23:F23"/>
    <mergeCell ref="G23:I23"/>
    <mergeCell ref="J23:M23"/>
    <mergeCell ref="C24:F24"/>
    <mergeCell ref="G24:I24"/>
    <mergeCell ref="J24:M24"/>
    <mergeCell ref="C21:F21"/>
    <mergeCell ref="G21:I21"/>
    <mergeCell ref="J21:M21"/>
    <mergeCell ref="C22:F22"/>
    <mergeCell ref="G22:I22"/>
    <mergeCell ref="J22:M22"/>
    <mergeCell ref="C19:F19"/>
    <mergeCell ref="G19:I19"/>
    <mergeCell ref="J19:M19"/>
    <mergeCell ref="C20:F20"/>
    <mergeCell ref="G20:I20"/>
    <mergeCell ref="J20:M20"/>
    <mergeCell ref="C17:F17"/>
    <mergeCell ref="G17:I17"/>
    <mergeCell ref="J17:M17"/>
    <mergeCell ref="C18:F18"/>
    <mergeCell ref="G18:I18"/>
    <mergeCell ref="J18:M18"/>
    <mergeCell ref="C15:F15"/>
    <mergeCell ref="G15:I15"/>
    <mergeCell ref="J15:M15"/>
    <mergeCell ref="C16:F16"/>
    <mergeCell ref="G16:I16"/>
    <mergeCell ref="J16:M16"/>
    <mergeCell ref="C13:F13"/>
    <mergeCell ref="G13:I13"/>
    <mergeCell ref="J13:M13"/>
    <mergeCell ref="C14:F14"/>
    <mergeCell ref="G14:I14"/>
    <mergeCell ref="J14:M14"/>
    <mergeCell ref="C11:F11"/>
    <mergeCell ref="G11:I11"/>
    <mergeCell ref="J11:M11"/>
    <mergeCell ref="C12:F12"/>
    <mergeCell ref="G12:I12"/>
    <mergeCell ref="J12:M12"/>
    <mergeCell ref="C8:F9"/>
    <mergeCell ref="G8:I9"/>
    <mergeCell ref="J8:M9"/>
    <mergeCell ref="C10:F10"/>
    <mergeCell ref="G10:I10"/>
    <mergeCell ref="J10:M10"/>
    <mergeCell ref="C2:M3"/>
    <mergeCell ref="C4:M4"/>
    <mergeCell ref="G5:I6"/>
    <mergeCell ref="C7:F7"/>
    <mergeCell ref="G7:I7"/>
    <mergeCell ref="J7:M7"/>
    <mergeCell ref="O23:R23"/>
    <mergeCell ref="S23:U23"/>
    <mergeCell ref="V23:Y23"/>
    <mergeCell ref="O24:R24"/>
    <mergeCell ref="S24:U24"/>
    <mergeCell ref="V24:Y24"/>
    <mergeCell ref="O21:R21"/>
    <mergeCell ref="S21:U21"/>
    <mergeCell ref="V21:Y21"/>
    <mergeCell ref="O22:R22"/>
    <mergeCell ref="S22:U22"/>
    <mergeCell ref="V22:Y22"/>
    <mergeCell ref="O19:R19"/>
    <mergeCell ref="S19:U19"/>
    <mergeCell ref="V19:Y19"/>
    <mergeCell ref="O20:R20"/>
    <mergeCell ref="S20:U20"/>
    <mergeCell ref="V20:Y20"/>
    <mergeCell ref="O17:R17"/>
    <mergeCell ref="S17:U17"/>
    <mergeCell ref="V17:Y17"/>
    <mergeCell ref="O18:R18"/>
    <mergeCell ref="S18:U18"/>
    <mergeCell ref="V18:Y18"/>
    <mergeCell ref="O15:R15"/>
    <mergeCell ref="S15:U15"/>
    <mergeCell ref="V15:Y15"/>
    <mergeCell ref="O16:R16"/>
    <mergeCell ref="S16:U16"/>
    <mergeCell ref="V16:Y16"/>
    <mergeCell ref="O13:R13"/>
    <mergeCell ref="S13:U13"/>
    <mergeCell ref="V13:Y13"/>
    <mergeCell ref="O14:R14"/>
    <mergeCell ref="S14:U14"/>
    <mergeCell ref="V14:Y14"/>
    <mergeCell ref="O11:R11"/>
    <mergeCell ref="S11:U11"/>
    <mergeCell ref="V11:Y11"/>
    <mergeCell ref="O12:R12"/>
    <mergeCell ref="S12:U12"/>
    <mergeCell ref="V12:Y12"/>
    <mergeCell ref="O8:R9"/>
    <mergeCell ref="S8:U9"/>
    <mergeCell ref="V8:Y9"/>
    <mergeCell ref="O10:R10"/>
    <mergeCell ref="S10:U10"/>
    <mergeCell ref="V10:Y10"/>
    <mergeCell ref="O2:Y3"/>
    <mergeCell ref="O4:Y4"/>
    <mergeCell ref="S5:U6"/>
    <mergeCell ref="O7:R7"/>
    <mergeCell ref="S7:U7"/>
    <mergeCell ref="V7:Y7"/>
    <mergeCell ref="AA23:AD23"/>
    <mergeCell ref="AE23:AG23"/>
    <mergeCell ref="AH23:AK23"/>
    <mergeCell ref="AA24:AD24"/>
    <mergeCell ref="AE24:AG24"/>
    <mergeCell ref="AH24:AK24"/>
    <mergeCell ref="AA21:AD21"/>
    <mergeCell ref="AE21:AG21"/>
    <mergeCell ref="AH21:AK21"/>
    <mergeCell ref="AA22:AD22"/>
    <mergeCell ref="AE22:AG22"/>
    <mergeCell ref="AH22:AK22"/>
    <mergeCell ref="AA19:AD19"/>
    <mergeCell ref="AE19:AG19"/>
    <mergeCell ref="AH19:AK19"/>
    <mergeCell ref="AA20:AD20"/>
    <mergeCell ref="AE20:AG20"/>
    <mergeCell ref="AH20:AK20"/>
    <mergeCell ref="AA17:AD17"/>
    <mergeCell ref="AE17:AG17"/>
    <mergeCell ref="AH17:AK17"/>
    <mergeCell ref="AA18:AD18"/>
    <mergeCell ref="AE18:AG18"/>
    <mergeCell ref="AH18:AK18"/>
    <mergeCell ref="AA15:AD15"/>
    <mergeCell ref="AE15:AG15"/>
    <mergeCell ref="AH15:AK15"/>
    <mergeCell ref="AA16:AD16"/>
    <mergeCell ref="AE16:AG16"/>
    <mergeCell ref="AH16:AK16"/>
    <mergeCell ref="AA13:AD13"/>
    <mergeCell ref="AE13:AG13"/>
    <mergeCell ref="AH13:AK13"/>
    <mergeCell ref="AA14:AD14"/>
    <mergeCell ref="AE14:AG14"/>
    <mergeCell ref="AH14:AK14"/>
    <mergeCell ref="AA11:AD11"/>
    <mergeCell ref="AE11:AG11"/>
    <mergeCell ref="AH11:AK11"/>
    <mergeCell ref="AA12:AD12"/>
    <mergeCell ref="AE12:AG12"/>
    <mergeCell ref="AH12:AK12"/>
    <mergeCell ref="AA8:AD9"/>
    <mergeCell ref="AE8:AG9"/>
    <mergeCell ref="AH8:AK9"/>
    <mergeCell ref="AA10:AD10"/>
    <mergeCell ref="AE10:AG10"/>
    <mergeCell ref="AH10:AK10"/>
    <mergeCell ref="AA2:AK3"/>
    <mergeCell ref="AA4:AK4"/>
    <mergeCell ref="AE5:AG6"/>
    <mergeCell ref="AA7:AD7"/>
    <mergeCell ref="AE7:AG7"/>
    <mergeCell ref="AH7:AK7"/>
    <mergeCell ref="AQ5:AS6"/>
    <mergeCell ref="AQ8:AS9"/>
    <mergeCell ref="AT8:AW9"/>
    <mergeCell ref="AM8:AP9"/>
    <mergeCell ref="AQ11:AS11"/>
    <mergeCell ref="AM11:AP11"/>
    <mergeCell ref="AT11:AW11"/>
    <mergeCell ref="AM23:AP23"/>
    <mergeCell ref="AQ23:AS23"/>
    <mergeCell ref="AT23:AW23"/>
    <mergeCell ref="AM24:AP24"/>
    <mergeCell ref="AQ24:AS24"/>
    <mergeCell ref="AT24:AW24"/>
    <mergeCell ref="AM21:AP21"/>
    <mergeCell ref="AQ21:AS21"/>
    <mergeCell ref="AT21:AW21"/>
    <mergeCell ref="AM22:AP22"/>
    <mergeCell ref="AQ22:AS22"/>
    <mergeCell ref="AT22:AW22"/>
    <mergeCell ref="AM19:AP19"/>
    <mergeCell ref="AQ19:AS19"/>
    <mergeCell ref="AT19:AW19"/>
    <mergeCell ref="AM20:AP20"/>
    <mergeCell ref="AQ20:AS20"/>
    <mergeCell ref="AT20:AW20"/>
    <mergeCell ref="AM17:AP17"/>
    <mergeCell ref="AQ17:AS17"/>
    <mergeCell ref="AT17:AW17"/>
    <mergeCell ref="AM18:AP18"/>
    <mergeCell ref="AQ18:AS18"/>
    <mergeCell ref="AT18:AW18"/>
    <mergeCell ref="AM15:AP15"/>
    <mergeCell ref="AQ15:AS15"/>
    <mergeCell ref="AT15:AW15"/>
    <mergeCell ref="AM16:AP16"/>
    <mergeCell ref="AQ16:AS16"/>
    <mergeCell ref="AT16:AW16"/>
    <mergeCell ref="AT12:AW12"/>
    <mergeCell ref="AM13:AP13"/>
    <mergeCell ref="AQ13:AS13"/>
    <mergeCell ref="AT13:AW13"/>
    <mergeCell ref="AM14:AP14"/>
    <mergeCell ref="AQ14:AS14"/>
    <mergeCell ref="AT14:AW14"/>
    <mergeCell ref="AM2:AW3"/>
    <mergeCell ref="AM4:AW4"/>
    <mergeCell ref="AM7:AP7"/>
    <mergeCell ref="AQ7:AS7"/>
    <mergeCell ref="AT7:AW7"/>
    <mergeCell ref="AM10:AP10"/>
    <mergeCell ref="AQ10:AS10"/>
    <mergeCell ref="AT10:AW10"/>
    <mergeCell ref="AM12:AP12"/>
    <mergeCell ref="AQ12:AS12"/>
  </mergeCells>
  <phoneticPr fontId="3" type="noConversion"/>
  <dataValidations count="2">
    <dataValidation type="list" allowBlank="1" showInputMessage="1" showErrorMessage="1" sqref="AQ12:AS24 AE12:AG24 S12:U24 G12:I24" xr:uid="{4C447E51-BFBF-4A7A-9B57-5FD610FD3E18}">
      <formula1>CODIGOS</formula1>
    </dataValidation>
    <dataValidation type="list" allowBlank="1" showInputMessage="1" showErrorMessage="1" sqref="AM4:AW4 AA4:AK4 O4:Y4 C4:M4" xr:uid="{33F9895F-6B1C-4143-9AF3-9EE4C8F04774}">
      <formula1>Nombre_Empleado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dimension ref="A1"/>
  <sheetViews>
    <sheetView workbookViewId="0">
      <selection activeCell="D27" sqref="D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sqref="A1:C1"/>
    </sheetView>
  </sheetViews>
  <sheetFormatPr baseColWidth="10" defaultRowHeight="14.4" x14ac:dyDescent="0.3"/>
  <sheetData>
    <row r="1" spans="1:3" x14ac:dyDescent="0.3">
      <c r="A1" s="47">
        <f>SUM(FACTURAS!$IA$7,1)</f>
        <v>1</v>
      </c>
      <c r="B1" s="47"/>
      <c r="C1" s="47"/>
    </row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F23" sqref="F23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BUSQUEDA</vt:lpstr>
      <vt:lpstr>FACTURAS</vt:lpstr>
      <vt:lpstr>Hoja1</vt:lpstr>
      <vt:lpstr>MEMORIA</vt:lpstr>
      <vt:lpstr>EMPLEADOS</vt:lpstr>
      <vt:lpstr>PRODUCTOS</vt:lpstr>
      <vt:lpstr>FACTURAS!Área_de_extracción</vt:lpstr>
      <vt:lpstr>CODIGOS</vt:lpstr>
      <vt:lpstr>FACTURAS!Criterios</vt:lpstr>
      <vt:lpstr>Empleados</vt:lpstr>
      <vt:lpstr>LISTA</vt:lpstr>
      <vt:lpstr>Nombre_Empleado</vt:lpstr>
      <vt:lpstr>Nro_Factura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2022-08-06T20:16:22Z</dcterms:modified>
  <cp:category/>
  <cp:contentStatus/>
</cp:coreProperties>
</file>
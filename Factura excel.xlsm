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0" documentId="8_{A2AE784F-08DA-4ECD-9F67-E8D627C55251}" xr6:coauthVersionLast="47" xr6:coauthVersionMax="47" xr10:uidLastSave="{00000000-0000-0000-0000-000000000000}"/>
  <bookViews>
    <workbookView xWindow="384" yWindow="384" windowWidth="17280" windowHeight="9420" xr2:uid="{E7BCC358-6F38-4867-B30C-32EEB422F7F0}"/>
  </bookViews>
  <sheets>
    <sheet name="BUSQUEDA" sheetId="2" r:id="rId1"/>
    <sheet name="FACTURAS" sheetId="5" r:id="rId2"/>
    <sheet name="Hoja1" sheetId="8" r:id="rId3"/>
    <sheet name="MEMORIA" sheetId="6" r:id="rId4"/>
    <sheet name="EMPLEADOS" sheetId="4" r:id="rId5"/>
    <sheet name="PRODUCTOS" sheetId="3" r:id="rId6"/>
  </sheets>
  <definedNames>
    <definedName name="_xlnm._FilterDatabase" localSheetId="0" hidden="1">BUSQUEDA!$D$15:$T$27</definedName>
    <definedName name="_xlnm._FilterDatabase" localSheetId="1" hidden="1">FACTURAS!$CA$5:$CC$24</definedName>
    <definedName name="_xlnm.Extract" localSheetId="1">FACTURAS!$C$31:$CI$31</definedName>
    <definedName name="CODIGOS">PRODUCTOS!$B$5:$B$17</definedName>
    <definedName name="_xlnm.Criteria" localSheetId="1">FACTURAS!$C$29</definedName>
    <definedName name="Empleados">EMPLEADOS!$B$5:$E$10</definedName>
    <definedName name="LISTA">PRODUCTOS!$B$5:$E$17</definedName>
    <definedName name="Nombre_Empleado">EMPLEADOS!$B$5:$B$10</definedName>
    <definedName name="Nro_Factura">FACTURAS!$7:$7</definedName>
    <definedName name="PORCENTAJE">PRODUCTOS!$D$5:$D$17</definedName>
    <definedName name="PRECIOS">PRODUCTOS!$E$5:$E$17</definedName>
    <definedName name="PRODUCTOS">PRODUCTOS!$C$5:$C$17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6" l="1"/>
  <c r="AK2" i="2"/>
  <c r="P10" i="2"/>
  <c r="P11" i="2" s="1"/>
  <c r="P12" i="2" s="1"/>
  <c r="X26" i="2"/>
  <c r="AD25" i="2"/>
  <c r="AD26" i="2"/>
  <c r="X16" i="2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X27" i="2"/>
  <c r="AD27" i="2" s="1"/>
  <c r="D22" i="2"/>
  <c r="D16" i="2"/>
  <c r="D17" i="2"/>
  <c r="D18" i="2"/>
  <c r="D19" i="2"/>
  <c r="D20" i="2"/>
  <c r="D21" i="2"/>
  <c r="D23" i="2"/>
  <c r="D24" i="2"/>
  <c r="D25" i="2"/>
  <c r="D26" i="2"/>
  <c r="D27" i="2"/>
  <c r="D15" i="2"/>
  <c r="X15" i="2"/>
  <c r="AD15" i="2" s="1"/>
  <c r="AD28" i="2" l="1"/>
  <c r="AD29" i="2"/>
  <c r="AD30" i="2" l="1"/>
  <c r="AD3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<sst xmlns="http://schemas.openxmlformats.org/spreadsheetml/2006/main" count="110" uniqueCount="70">
  <si>
    <t>FECHA</t>
  </si>
  <si>
    <t>SERVICIO NACIONAL DE APRENDIZAJE SENA</t>
  </si>
  <si>
    <t>CONTROL DE ENTRADA Y SALIDA</t>
  </si>
  <si>
    <t>NOMBRE DEL EMPLEADO:</t>
  </si>
  <si>
    <t>Daniel Ramirez</t>
  </si>
  <si>
    <t>DOCUMENTO: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</si>
  <si>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</si>
  <si>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</si>
  <si>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</si>
  <si>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</si>
  <si>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</si>
  <si>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</si>
  <si>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</si>
  <si>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AN103</t>
  </si>
  <si>
    <t>AN110</t>
  </si>
  <si>
    <t>AN104</t>
  </si>
  <si>
    <t>AN113</t>
  </si>
  <si>
    <t>AN102</t>
  </si>
  <si>
    <t>AN105</t>
  </si>
  <si>
    <t>AN106</t>
  </si>
  <si>
    <t>AN111</t>
  </si>
  <si>
    <t>TOTAL VALOR BRUTO</t>
  </si>
  <si>
    <t>VALOR IVA</t>
  </si>
  <si>
    <t>VALOR NETO</t>
  </si>
  <si>
    <t>Nombre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</si>
  <si>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</si>
  <si>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</si>
  <si>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</si>
  <si>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</si>
  <si>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</si>
  <si>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</si>
  <si>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</si>
  <si>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</si>
  <si>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</si>
  <si>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Alexander Mendez</t>
  </si>
  <si>
    <t>Resgistro</t>
  </si>
  <si>
    <t>Transversal 5 # 44-5</t>
  </si>
  <si>
    <t>Sandra Quiñones</t>
  </si>
  <si>
    <t>Psicologia</t>
  </si>
  <si>
    <t>Calle 1 a # 54-2</t>
  </si>
  <si>
    <t>Johan Gomez</t>
  </si>
  <si>
    <t>Mantenimiento</t>
  </si>
  <si>
    <t>Carrera 16A # 45- 3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</si>
  <si>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</si>
  <si>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</si>
  <si>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</si>
  <si>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</si>
  <si>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</si>
  <si>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</si>
  <si>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</si>
  <si>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</si>
  <si>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</si>
  <si>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</si>
  <si>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AN107</t>
  </si>
  <si>
    <t>LAPTOP ASUS 16RAM I 5</t>
  </si>
  <si>
    <t>AN108</t>
  </si>
  <si>
    <t>CAMARA INFRARROJA</t>
  </si>
  <si>
    <t>AN109</t>
  </si>
  <si>
    <t>TELEVISOR SAMSUMG 30"</t>
  </si>
  <si>
    <t xml:space="preserve">MEMORIA RAM 8GB APPDATA </t>
  </si>
  <si>
    <t>TECLADO RED DRAGON VEGINER</t>
  </si>
  <si>
    <t>AN112</t>
  </si>
  <si>
    <t xml:space="preserve">PROYECTOR </t>
  </si>
  <si>
    <t>MONITOR JANUS 23 " IPS</t>
  </si>
  <si>
    <t xml:space="preserve"> </t>
  </si>
  <si>
    <t>VALOR CON DESCUENTO</t>
  </si>
  <si>
    <t>Name</t>
  </si>
  <si>
    <t>Fecha</t>
  </si>
  <si>
    <t>Productos</t>
  </si>
  <si>
    <t>No 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</si>
</sst>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dd\-mm\-yy;@"/>
    <numFmt numFmtId="166" formatCode="&quot;ABC -&quot;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717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4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center"/>
    </xf>
    <xf numFmtId="9" fontId="0" fillId="0" borderId="7" xfId="2" applyFont="1" applyBorder="1"/>
    <xf numFmtId="0" fontId="0" fillId="0" borderId="9" xfId="0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5" xfId="0" applyBorder="1" applyAlignment="1"/>
    <xf numFmtId="0" fontId="0" fillId="0" borderId="3" xfId="0" applyBorder="1" applyAlignment="1"/>
    <xf numFmtId="166" fontId="0" fillId="0" borderId="0" xfId="0" applyNumberFormat="1"/>
    <xf numFmtId="0" fontId="0" fillId="0" borderId="14" xfId="0" applyBorder="1"/>
    <xf numFmtId="0" fontId="5" fillId="0" borderId="15" xfId="0" applyFont="1" applyBorder="1"/>
    <xf numFmtId="0" fontId="4" fillId="3" borderId="7" xfId="0" applyFont="1" applyFill="1" applyBorder="1" applyAlignment="1">
      <alignment vertical="center"/>
    </xf>
    <xf numFmtId="2" fontId="0" fillId="0" borderId="0" xfId="0" applyNumberFormat="1"/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49" fontId="0" fillId="8" borderId="7" xfId="0" applyNumberFormat="1" applyFill="1" applyBorder="1" applyAlignment="1">
      <alignment horizontal="center"/>
    </xf>
    <xf numFmtId="0" fontId="0" fillId="7" borderId="13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14" fontId="4" fillId="9" borderId="7" xfId="0" applyNumberFormat="1" applyFont="1" applyFill="1" applyBorder="1" applyAlignment="1">
      <alignment horizontal="center" vertical="center"/>
    </xf>
    <xf numFmtId="14" fontId="4" fillId="9" borderId="11" xfId="0" applyNumberFormat="1" applyFont="1" applyFill="1" applyBorder="1" applyAlignment="1">
      <alignment horizontal="center" vertical="center"/>
    </xf>
    <xf numFmtId="165" fontId="4" fillId="9" borderId="13" xfId="0" applyNumberFormat="1" applyFont="1" applyFill="1" applyBorder="1" applyAlignment="1">
      <alignment horizontal="center" vertical="center"/>
    </xf>
    <xf numFmtId="165" fontId="4" fillId="9" borderId="7" xfId="0" applyNumberFormat="1" applyFont="1" applyFill="1" applyBorder="1" applyAlignment="1">
      <alignment horizontal="center" vertical="center"/>
    </xf>
    <xf numFmtId="165" fontId="4" fillId="9" borderId="11" xfId="0" applyNumberFormat="1" applyFont="1" applyFill="1" applyBorder="1" applyAlignment="1">
      <alignment horizontal="center" vertical="center"/>
    </xf>
    <xf numFmtId="14" fontId="4" fillId="9" borderId="13" xfId="0" applyNumberFormat="1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166" fontId="4" fillId="4" borderId="12" xfId="0" applyNumberFormat="1" applyFont="1" applyFill="1" applyBorder="1" applyAlignment="1">
      <alignment horizontal="center" vertical="center"/>
    </xf>
    <xf numFmtId="166" fontId="4" fillId="4" borderId="13" xfId="0" applyNumberFormat="1" applyFont="1" applyFill="1" applyBorder="1" applyAlignment="1">
      <alignment horizontal="center" vertical="center"/>
    </xf>
    <xf numFmtId="166" fontId="4" fillId="4" borderId="7" xfId="0" applyNumberFormat="1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10" xfId="3" applyNumberFormat="1" applyFont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topLeftCell="A6" zoomScaleNormal="100" workbookViewId="0">
      <selection activeCell="U18" sqref="U18:W18"/>
    </sheetView>
  </sheetViews>
  <sheetFormatPr baseColWidth="10" defaultColWidth="11.44140625" defaultRowHeight="14.4" x14ac:dyDescent="0.3"/>
  <cols>
    <col min="1" max="2" width="4.44140625" customWidth="1"/>
    <col min="3" max="3" width="3.88671875" customWidth="1"/>
    <col min="4" max="4" width="5" customWidth="1"/>
    <col min="5" max="5" width="3.109375" customWidth="1"/>
    <col min="6" max="6" width="10" customWidth="1"/>
    <col min="7" max="7" width="4.5546875" customWidth="1"/>
    <col min="8" max="8" width="3.88671875" customWidth="1"/>
    <col min="9" max="9" width="3.5546875" customWidth="1"/>
    <col min="10" max="10" width="3.33203125" customWidth="1"/>
    <col min="11" max="11" width="3.44140625" customWidth="1"/>
    <col min="12" max="12" width="4" hidden="1" customWidth="1"/>
    <col min="13" max="13" width="2.6640625" hidden="1" customWidth="1"/>
    <col min="14" max="14" width="3.109375" hidden="1" customWidth="1"/>
    <col min="15" max="15" width="3.44140625" hidden="1" customWidth="1"/>
    <col min="16" max="16" width="3.6640625" customWidth="1"/>
    <col min="17" max="18" width="3.88671875" customWidth="1"/>
    <col min="19" max="19" width="4" customWidth="1"/>
    <col min="20" max="20" width="4.44140625" customWidth="1"/>
    <col min="21" max="21" width="4.109375" customWidth="1"/>
    <col min="22" max="22" width="5.5546875" customWidth="1"/>
    <col min="23" max="23" width="3.5546875" customWidth="1"/>
    <col min="24" max="24" width="9.109375" customWidth="1"/>
    <col min="25" max="25" width="1.88671875" customWidth="1"/>
    <col min="26" max="26" width="0.5546875" hidden="1" customWidth="1"/>
    <col min="27" max="27" width="2.5546875" customWidth="1"/>
    <col min="28" max="28" width="1.44140625" customWidth="1"/>
    <col min="29" max="29" width="4.6640625" customWidth="1"/>
    <col min="30" max="30" width="7.88671875" customWidth="1"/>
    <col min="31" max="32" width="2.5546875" customWidth="1"/>
    <col min="33" max="33" width="2.109375" customWidth="1"/>
    <col min="34" max="34" width="2.44140625" customWidth="1"/>
    <col min="35" max="35" width="2.5546875" customWidth="1"/>
    <col min="36" max="36" width="3" customWidth="1"/>
    <col min="37" max="37" width="3.44140625" customWidth="1"/>
    <col min="38" max="38" width="2.44140625" customWidth="1"/>
    <col min="39" max="39" width="3.6640625" customWidth="1"/>
    <col min="40" max="40" width="3.5546875" customWidth="1"/>
  </cols>
  <sheetData>
    <row r="1" spans="1:42" x14ac:dyDescent="0.3">
      <c r="A1" s="29"/>
      <c r="B1" s="30"/>
      <c r="C1" s="30"/>
      <c r="D1" s="30"/>
      <c r="E1" s="3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30" t="s">
        <v>0</v>
      </c>
      <c r="AL1" s="30"/>
      <c r="AM1" s="30"/>
      <c r="AN1" s="13"/>
    </row>
    <row r="2" spans="1:42" x14ac:dyDescent="0.3">
      <c r="A2" s="31"/>
      <c r="B2" s="32"/>
      <c r="C2" s="32"/>
      <c r="D2" s="32"/>
      <c r="E2" s="32"/>
      <c r="AK2" s="34">
        <f ca="1">TODAY()</f>
        <v>44780</v>
      </c>
      <c r="AL2" s="34"/>
      <c r="AM2" s="34"/>
      <c r="AN2" s="11"/>
    </row>
    <row r="3" spans="1:42" x14ac:dyDescent="0.3">
      <c r="A3" s="31"/>
      <c r="B3" s="32"/>
      <c r="C3" s="32"/>
      <c r="D3" s="32"/>
      <c r="E3" s="32"/>
      <c r="O3" s="37" t="s">
        <v>1</v>
      </c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N3" s="3"/>
    </row>
    <row r="4" spans="1:42" x14ac:dyDescent="0.3">
      <c r="A4" s="31"/>
      <c r="B4" s="32"/>
      <c r="C4" s="32"/>
      <c r="D4" s="32"/>
      <c r="E4" s="32"/>
      <c r="AK4" s="32" t="s">
        <v>69</v>
      </c>
      <c r="AL4" s="32"/>
      <c r="AM4" s="32"/>
      <c r="AN4" s="12"/>
    </row>
    <row r="5" spans="1:42" ht="15" customHeight="1" x14ac:dyDescent="0.3">
      <c r="A5" s="31"/>
      <c r="B5" s="32"/>
      <c r="C5" s="32"/>
      <c r="D5" s="32"/>
      <c r="E5" s="32"/>
      <c r="O5" s="32" t="s">
        <v>2</v>
      </c>
      <c r="P5" s="32"/>
      <c r="Q5" s="32"/>
      <c r="R5" s="32"/>
      <c r="S5" s="32"/>
      <c r="T5" s="32"/>
      <c r="U5" s="32"/>
      <c r="V5" s="32"/>
      <c r="W5" s="32"/>
      <c r="X5" s="32"/>
      <c r="Y5" s="32"/>
      <c r="AJ5" t="s">
        <v>64</v>
      </c>
      <c r="AK5" s="35">
        <v>12</v>
      </c>
      <c r="AL5" s="35"/>
      <c r="AM5" s="35"/>
      <c r="AN5" s="12"/>
    </row>
    <row r="6" spans="1:42" x14ac:dyDescent="0.3">
      <c r="A6" s="31"/>
      <c r="B6" s="32"/>
      <c r="C6" s="32"/>
      <c r="D6" s="32"/>
      <c r="E6" s="32"/>
      <c r="AN6" s="3"/>
    </row>
    <row r="7" spans="1:42" ht="7.5" customHeight="1" x14ac:dyDescent="0.3">
      <c r="A7" s="2"/>
      <c r="AN7" s="3"/>
    </row>
    <row r="8" spans="1:42" hidden="1" x14ac:dyDescent="0.3">
      <c r="A8" s="2"/>
      <c r="AN8" s="3"/>
    </row>
    <row r="9" spans="1:42" ht="15" thickBot="1" x14ac:dyDescent="0.35">
      <c r="A9" s="2"/>
      <c r="F9" s="38" t="s">
        <v>3</v>
      </c>
      <c r="G9" s="38"/>
      <c r="H9" s="38"/>
      <c r="I9" s="38"/>
      <c r="J9" s="38"/>
      <c r="K9" s="38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N9" s="3"/>
      <c r="AP9" s="14"/>
    </row>
    <row r="10" spans="1:42" ht="15" thickBot="1" x14ac:dyDescent="0.35">
      <c r="A10" s="2"/>
      <c r="F10" s="38" t="s">
        <v>5</v>
      </c>
      <c r="G10" s="38"/>
      <c r="H10" s="38"/>
      <c r="I10" s="38"/>
      <c r="J10" s="38"/>
      <c r="K10" s="38"/>
      <c r="P10" s="30" t="str">
        <f>IF(P9="","",VLOOKUP(P9,Empleados,2,FALSE))</f>
        <v/>
      </c>
      <c r="Q10" s="30"/>
      <c r="R10" s="30"/>
      <c r="S10" s="30"/>
      <c r="T10" s="30"/>
      <c r="U10" s="30"/>
      <c r="V10" s="30"/>
      <c r="W10" s="30"/>
      <c r="X10" s="30"/>
      <c r="Y10" s="30"/>
      <c r="Z10" s="30"/>
      <c r="AN10" s="3"/>
    </row>
    <row r="11" spans="1:42" ht="15" thickBot="1" x14ac:dyDescent="0.35">
      <c r="A11" s="2"/>
      <c r="F11" s="38" t="s">
        <v>6</v>
      </c>
      <c r="G11" s="38"/>
      <c r="H11" s="38"/>
      <c r="I11" s="38"/>
      <c r="J11" s="38"/>
      <c r="K11" s="38"/>
      <c r="P11" s="30" t="str">
        <f>IF(P10="","",VLOOKUP(P9,Empleados,3,FALSE))</f>
        <v/>
      </c>
      <c r="Q11" s="30"/>
      <c r="R11" s="30"/>
      <c r="S11" s="30"/>
      <c r="T11" s="30"/>
      <c r="U11" s="30"/>
      <c r="V11" s="30"/>
      <c r="W11" s="30"/>
      <c r="X11" s="30"/>
      <c r="Y11" s="30"/>
      <c r="Z11" s="30"/>
      <c r="AN11" s="3"/>
    </row>
    <row r="12" spans="1:42" ht="15" thickBot="1" x14ac:dyDescent="0.35">
      <c r="A12" s="2"/>
      <c r="F12" s="38" t="s">
        <v>7</v>
      </c>
      <c r="G12" s="38"/>
      <c r="H12" s="38"/>
      <c r="I12" s="9"/>
      <c r="J12" s="9"/>
      <c r="K12" s="9"/>
      <c r="P12" s="33" t="str">
        <f>IF(P11="","",VLOOKUP(P9,Empleados,4,FALSE))</f>
        <v/>
      </c>
      <c r="Q12" s="33"/>
      <c r="R12" s="33"/>
      <c r="S12" s="33"/>
      <c r="T12" s="33"/>
      <c r="U12" s="33"/>
      <c r="V12" s="33"/>
      <c r="W12" s="33"/>
      <c r="X12" s="33"/>
      <c r="Y12" s="33"/>
      <c r="Z12" s="33"/>
      <c r="AN12" s="3"/>
    </row>
    <row r="13" spans="1:42" x14ac:dyDescent="0.3">
      <c r="A13" s="2"/>
      <c r="AN13" s="3"/>
    </row>
    <row r="14" spans="1:42" x14ac:dyDescent="0.3">
      <c r="A14" s="28" t="s">
        <v>8</v>
      </c>
      <c r="B14" s="28"/>
      <c r="C14" s="28"/>
      <c r="D14" s="28" t="s">
        <v>9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 t="s">
        <v>10</v>
      </c>
      <c r="V14" s="28"/>
      <c r="W14" s="28"/>
      <c r="X14" s="28" t="s">
        <v>11</v>
      </c>
      <c r="Y14" s="28"/>
      <c r="Z14" s="28"/>
      <c r="AA14" s="28"/>
      <c r="AB14" s="28"/>
      <c r="AC14" s="28"/>
      <c r="AD14" s="28" t="s">
        <v>12</v>
      </c>
      <c r="AE14" s="28"/>
      <c r="AF14" s="28"/>
      <c r="AG14" s="28"/>
      <c r="AH14" s="28"/>
      <c r="AI14" s="28"/>
      <c r="AJ14" s="28"/>
      <c r="AK14" s="28"/>
      <c r="AL14" s="28"/>
      <c r="AM14" s="28"/>
      <c r="AN14" s="28"/>
    </row>
    <row r="15" spans="1:42" x14ac:dyDescent="0.3">
      <c r="A15" s="27"/>
      <c r="B15" s="27"/>
      <c r="C15" s="27"/>
      <c r="D15" s="26" t="str">
        <f t="shared" ref="D15:D27" si="0">IF(A15="","",(VLOOKUP(A15,LISTA,2,FALSE)))</f>
        <v/>
      </c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19">
        <v>1</v>
      </c>
      <c r="V15" s="20"/>
      <c r="W15" s="21"/>
      <c r="X15" s="25" t="str">
        <f t="shared" ref="X15:X27" si="1">IF(A15="","",(VLOOKUP(A15,LISTA,4,FALSE)*VLOOKUP($A15,LISTA,3,FALSE)*U15))</f>
        <v/>
      </c>
      <c r="Y15" s="25"/>
      <c r="Z15" s="25"/>
      <c r="AA15" s="25"/>
      <c r="AB15" s="25"/>
      <c r="AC15" s="25"/>
      <c r="AD15" s="25" t="str">
        <f t="shared" ref="AD15:AD27" si="2">IF(A15="","",((VLOOKUP(A15,LISTA,4,FALSE) + X15)*U15))</f>
        <v/>
      </c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P15" s="18"/>
    </row>
    <row r="16" spans="1:42" x14ac:dyDescent="0.3">
      <c r="A16" s="27"/>
      <c r="B16" s="27"/>
      <c r="C16" s="27"/>
      <c r="D16" s="26" t="str">
        <f t="shared" si="0"/>
        <v/>
      </c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19">
        <v>1</v>
      </c>
      <c r="V16" s="20"/>
      <c r="W16" s="21"/>
      <c r="X16" s="25" t="str">
        <f t="shared" si="1"/>
        <v/>
      </c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P16" s="18"/>
    </row>
    <row r="17" spans="1:42" x14ac:dyDescent="0.3">
      <c r="A17" s="27"/>
      <c r="B17" s="27"/>
      <c r="C17" s="27"/>
      <c r="D17" s="26" t="str">
        <f t="shared" si="0"/>
        <v/>
      </c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19">
        <v>1</v>
      </c>
      <c r="V17" s="20"/>
      <c r="W17" s="21"/>
      <c r="X17" s="25" t="str">
        <f t="shared" si="1"/>
        <v/>
      </c>
      <c r="Y17" s="25"/>
      <c r="Z17" s="25"/>
      <c r="AA17" s="25"/>
      <c r="AB17" s="25"/>
      <c r="AC17" s="25"/>
      <c r="AD17" s="25" t="str">
        <f t="shared" si="2"/>
        <v/>
      </c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P17" s="18"/>
    </row>
    <row r="18" spans="1:42" x14ac:dyDescent="0.3">
      <c r="A18" s="27"/>
      <c r="B18" s="27"/>
      <c r="C18" s="27"/>
      <c r="D18" s="26" t="str">
        <f t="shared" si="0"/>
        <v/>
      </c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19">
        <v>0</v>
      </c>
      <c r="V18" s="20"/>
      <c r="W18" s="21"/>
      <c r="X18" s="25" t="str">
        <f t="shared" si="1"/>
        <v/>
      </c>
      <c r="Y18" s="25"/>
      <c r="Z18" s="25"/>
      <c r="AA18" s="25"/>
      <c r="AB18" s="25"/>
      <c r="AC18" s="25"/>
      <c r="AD18" s="25" t="str">
        <f t="shared" si="2"/>
        <v/>
      </c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P18" s="18"/>
    </row>
    <row r="19" spans="1:42" x14ac:dyDescent="0.3">
      <c r="A19" s="27"/>
      <c r="B19" s="27"/>
      <c r="C19" s="27"/>
      <c r="D19" s="26" t="str">
        <f t="shared" si="0"/>
        <v/>
      </c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19">
        <v>1</v>
      </c>
      <c r="V19" s="20"/>
      <c r="W19" s="21"/>
      <c r="X19" s="25" t="str">
        <f t="shared" si="1"/>
        <v/>
      </c>
      <c r="Y19" s="25"/>
      <c r="Z19" s="25"/>
      <c r="AA19" s="25"/>
      <c r="AB19" s="25"/>
      <c r="AC19" s="25"/>
      <c r="AD19" s="25" t="str">
        <f t="shared" si="2"/>
        <v/>
      </c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P19" s="18"/>
    </row>
    <row r="20" spans="1:42" x14ac:dyDescent="0.3">
      <c r="A20" s="27"/>
      <c r="B20" s="27"/>
      <c r="C20" s="27"/>
      <c r="D20" s="26" t="str">
        <f t="shared" si="0"/>
        <v/>
      </c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19">
        <v>2</v>
      </c>
      <c r="V20" s="20"/>
      <c r="W20" s="21"/>
      <c r="X20" s="25" t="str">
        <f t="shared" si="1"/>
        <v/>
      </c>
      <c r="Y20" s="25"/>
      <c r="Z20" s="25"/>
      <c r="AA20" s="25"/>
      <c r="AB20" s="25"/>
      <c r="AC20" s="25"/>
      <c r="AD20" s="25" t="str">
        <f t="shared" si="2"/>
        <v/>
      </c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P20" s="18"/>
    </row>
    <row r="21" spans="1:42" x14ac:dyDescent="0.3">
      <c r="A21" s="27"/>
      <c r="B21" s="27"/>
      <c r="C21" s="27"/>
      <c r="D21" s="26" t="str">
        <f t="shared" si="0"/>
        <v/>
      </c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19">
        <v>3</v>
      </c>
      <c r="V21" s="20"/>
      <c r="W21" s="21"/>
      <c r="X21" s="25" t="str">
        <f t="shared" si="1"/>
        <v/>
      </c>
      <c r="Y21" s="25"/>
      <c r="Z21" s="25"/>
      <c r="AA21" s="25"/>
      <c r="AB21" s="25"/>
      <c r="AC21" s="25"/>
      <c r="AD21" s="25" t="str">
        <f t="shared" si="2"/>
        <v/>
      </c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P21" s="18"/>
    </row>
    <row r="22" spans="1:42" x14ac:dyDescent="0.3">
      <c r="A22" s="27"/>
      <c r="B22" s="27"/>
      <c r="C22" s="27"/>
      <c r="D22" s="26" t="str">
        <f t="shared" si="0"/>
        <v/>
      </c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19">
        <v>4</v>
      </c>
      <c r="V22" s="20"/>
      <c r="W22" s="21"/>
      <c r="X22" s="25" t="str">
        <f t="shared" si="1"/>
        <v/>
      </c>
      <c r="Y22" s="25"/>
      <c r="Z22" s="25"/>
      <c r="AA22" s="25"/>
      <c r="AB22" s="25"/>
      <c r="AC22" s="25"/>
      <c r="AD22" s="25" t="str">
        <f t="shared" si="2"/>
        <v/>
      </c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P22" s="18"/>
    </row>
    <row r="23" spans="1:42" x14ac:dyDescent="0.3">
      <c r="A23" s="27"/>
      <c r="B23" s="27"/>
      <c r="C23" s="27"/>
      <c r="D23" s="26" t="str">
        <f t="shared" si="0"/>
        <v/>
      </c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19">
        <v>5</v>
      </c>
      <c r="V23" s="20"/>
      <c r="W23" s="21"/>
      <c r="X23" s="25" t="str">
        <f t="shared" si="1"/>
        <v/>
      </c>
      <c r="Y23" s="25"/>
      <c r="Z23" s="25"/>
      <c r="AA23" s="25"/>
      <c r="AB23" s="25"/>
      <c r="AC23" s="25"/>
      <c r="AD23" s="25" t="str">
        <f t="shared" si="2"/>
        <v/>
      </c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P23" s="18"/>
    </row>
    <row r="24" spans="1:42" x14ac:dyDescent="0.3">
      <c r="A24" s="27"/>
      <c r="B24" s="27"/>
      <c r="C24" s="27"/>
      <c r="D24" s="26" t="str">
        <f t="shared" si="0"/>
        <v/>
      </c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19">
        <v>6</v>
      </c>
      <c r="V24" s="20"/>
      <c r="W24" s="21"/>
      <c r="X24" s="25" t="str">
        <f t="shared" si="1"/>
        <v/>
      </c>
      <c r="Y24" s="25"/>
      <c r="Z24" s="25"/>
      <c r="AA24" s="25"/>
      <c r="AB24" s="25"/>
      <c r="AC24" s="25"/>
      <c r="AD24" s="25" t="str">
        <f t="shared" si="2"/>
        <v/>
      </c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P24" s="18"/>
    </row>
    <row r="25" spans="1:42" x14ac:dyDescent="0.3">
      <c r="A25" s="27"/>
      <c r="B25" s="27"/>
      <c r="C25" s="27"/>
      <c r="D25" s="26" t="str">
        <f t="shared" si="0"/>
        <v/>
      </c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19">
        <v>7</v>
      </c>
      <c r="V25" s="20"/>
      <c r="W25" s="21"/>
      <c r="X25" s="25" t="str">
        <f t="shared" si="1"/>
        <v/>
      </c>
      <c r="Y25" s="25"/>
      <c r="Z25" s="25"/>
      <c r="AA25" s="25"/>
      <c r="AB25" s="25"/>
      <c r="AC25" s="25"/>
      <c r="AD25" s="25" t="str">
        <f t="shared" si="2"/>
        <v/>
      </c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P25" s="18"/>
    </row>
    <row r="26" spans="1:42" x14ac:dyDescent="0.3">
      <c r="A26" s="27"/>
      <c r="B26" s="27"/>
      <c r="C26" s="27"/>
      <c r="D26" s="26" t="str">
        <f t="shared" si="0"/>
        <v/>
      </c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19">
        <v>8</v>
      </c>
      <c r="V26" s="20"/>
      <c r="W26" s="21"/>
      <c r="X26" s="25" t="str">
        <f>IF(A26="","",(VLOOKUP(A26,LISTA,4,FALSE)*VLOOKUP($A26,LISTA,3,FALSE)*U26))</f>
        <v/>
      </c>
      <c r="Y26" s="25"/>
      <c r="Z26" s="25"/>
      <c r="AA26" s="25"/>
      <c r="AB26" s="25"/>
      <c r="AC26" s="25"/>
      <c r="AD26" s="25" t="str">
        <f t="shared" si="2"/>
        <v/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P26" s="18"/>
    </row>
    <row r="27" spans="1:42" x14ac:dyDescent="0.3">
      <c r="A27" s="27"/>
      <c r="B27" s="27"/>
      <c r="C27" s="27"/>
      <c r="D27" s="26" t="str">
        <f t="shared" si="0"/>
        <v/>
      </c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19">
        <v>9</v>
      </c>
      <c r="V27" s="20"/>
      <c r="W27" s="21"/>
      <c r="X27" s="25" t="str">
        <f t="shared" si="1"/>
        <v/>
      </c>
      <c r="Y27" s="25"/>
      <c r="Z27" s="25"/>
      <c r="AA27" s="25"/>
      <c r="AB27" s="25"/>
      <c r="AC27" s="25"/>
      <c r="AD27" s="25" t="str">
        <f t="shared" si="2"/>
        <v/>
      </c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P27" s="18"/>
    </row>
    <row r="28" spans="1:42" ht="20.25" customHeight="1" x14ac:dyDescent="0.3">
      <c r="A28" s="22" t="s">
        <v>21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>
        <f>SUM(AD15:AN27)- SUM(X15:AC27)</f>
        <v>0</v>
      </c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2" ht="18" customHeight="1" x14ac:dyDescent="0.3">
      <c r="A29" s="22" t="s">
        <v>22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>
        <f>SUM(X15:AC27)</f>
        <v>0</v>
      </c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2" ht="21" customHeight="1" x14ac:dyDescent="0.3">
      <c r="A30" s="22" t="s">
        <v>23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4">
        <f>SUM(AD28:AN29)</f>
        <v>0</v>
      </c>
      <c r="AE30" s="24"/>
      <c r="AF30" s="24"/>
      <c r="AG30" s="24"/>
      <c r="AH30" s="24"/>
      <c r="AI30" s="24"/>
      <c r="AJ30" s="24"/>
      <c r="AK30" s="24"/>
      <c r="AL30" s="24"/>
      <c r="AM30" s="24"/>
      <c r="AN30" s="24"/>
    </row>
    <row r="31" spans="1:42" ht="18" customHeight="1" x14ac:dyDescent="0.3">
      <c r="A31" s="22" t="s">
        <v>65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>
        <f>IF(AD28&lt;1000000,+AD28-AD30*2%,IF(AD28&lt;5000000,+AD28-AD30*5%,IF(AD28&lt;10000000,+AD28-AD30*10%,IF(AD28&lt;30000000,+AD28-AD30*15%,IF(AD28&gt;30000000,+AD28-AD30*20%)))))</f>
        <v>0</v>
      </c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4" spans="2:5" x14ac:dyDescent="0.3">
      <c r="B34" s="36"/>
      <c r="C34" s="36"/>
      <c r="D34" s="36"/>
      <c r="E34" s="36"/>
    </row>
    <row r="35" spans="2:5" x14ac:dyDescent="0.3">
      <c r="B35" s="36"/>
      <c r="C35" s="36"/>
      <c r="D35" s="36"/>
      <c r="E35" s="36"/>
    </row>
  </sheetData>
  <dataConsolidate function="max"/>
  <mergeCells count="94"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D14:T14"/>
    <mergeCell ref="D20:T20"/>
    <mergeCell ref="D15:T15"/>
    <mergeCell ref="D16:T16"/>
    <mergeCell ref="D17:T17"/>
    <mergeCell ref="D18:T18"/>
    <mergeCell ref="D19:T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2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</dataValidations>
  <pageMargins left="0.70866141732283472" right="0.70866141732283472" top="0.78740157480314965" bottom="0.74803149606299213" header="0.31496062992125984" footer="0.31496062992125984"/>
  <pageSetup scale="8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638BF-C510-4FBD-BDD3-597EDBDD6E56}">
  <sheetPr codeName="Hoja5"/>
  <dimension ref="B2:CH24"/>
  <sheetViews>
    <sheetView workbookViewId="0">
      <selection activeCell="G26" sqref="G26"/>
    </sheetView>
  </sheetViews>
  <sheetFormatPr baseColWidth="10" defaultColWidth="3.44140625" defaultRowHeight="14.4" x14ac:dyDescent="0.3"/>
  <cols>
    <col min="8" max="8" width="3.44140625" customWidth="1"/>
  </cols>
  <sheetData>
    <row r="2" spans="2:86" x14ac:dyDescent="0.3">
      <c r="C2" s="54" t="s">
        <v>66</v>
      </c>
      <c r="D2" s="54"/>
      <c r="E2" s="54"/>
      <c r="F2" s="54"/>
      <c r="G2" s="54"/>
      <c r="H2" s="54"/>
      <c r="I2" s="54"/>
      <c r="J2" s="54"/>
      <c r="K2" s="54"/>
      <c r="L2" s="54"/>
      <c r="M2" s="54"/>
      <c r="O2" s="54" t="s">
        <v>66</v>
      </c>
      <c r="P2" s="54"/>
      <c r="Q2" s="54"/>
      <c r="R2" s="54"/>
      <c r="S2" s="54"/>
      <c r="T2" s="54"/>
      <c r="U2" s="54"/>
      <c r="V2" s="54"/>
      <c r="W2" s="54"/>
      <c r="X2" s="54"/>
      <c r="Y2" s="54"/>
      <c r="AA2" s="54" t="s">
        <v>66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M2" s="54" t="s">
        <v>66</v>
      </c>
      <c r="AN2" s="54"/>
      <c r="AO2" s="54"/>
      <c r="AP2" s="54"/>
      <c r="AQ2" s="54"/>
      <c r="AR2" s="54"/>
      <c r="AS2" s="54"/>
      <c r="AT2" s="54"/>
      <c r="AU2" s="54"/>
      <c r="AV2" s="54"/>
      <c r="AW2" s="54"/>
      <c r="AY2" s="54" t="s">
        <v>66</v>
      </c>
      <c r="AZ2" s="54"/>
      <c r="BA2" s="54"/>
      <c r="BB2" s="54"/>
      <c r="BC2" s="54"/>
      <c r="BD2" s="54"/>
      <c r="BE2" s="54"/>
      <c r="BF2" s="54"/>
      <c r="BG2" s="54"/>
      <c r="BH2" s="54"/>
      <c r="BI2" s="54"/>
      <c r="BK2" s="54" t="s">
        <v>66</v>
      </c>
      <c r="BL2" s="54"/>
      <c r="BM2" s="54"/>
      <c r="BN2" s="54"/>
      <c r="BO2" s="54"/>
      <c r="BP2" s="54"/>
      <c r="BQ2" s="54"/>
      <c r="BR2" s="54"/>
      <c r="BS2" s="54"/>
      <c r="BT2" s="54"/>
      <c r="BU2" s="54"/>
      <c r="BW2" s="54" t="s">
        <v>66</v>
      </c>
      <c r="BX2" s="54"/>
      <c r="BY2" s="54"/>
      <c r="BZ2" s="54"/>
      <c r="CA2" s="54"/>
      <c r="CB2" s="54"/>
      <c r="CC2" s="54"/>
      <c r="CD2" s="54"/>
      <c r="CE2" s="54"/>
      <c r="CF2" s="54"/>
      <c r="CG2" s="54"/>
    </row>
    <row r="3" spans="2:86" x14ac:dyDescent="0.3"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</row>
    <row r="4" spans="2:86" ht="15" thickBot="1" x14ac:dyDescent="0.35">
      <c r="B4" s="16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15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15"/>
      <c r="AA4" s="39" t="s">
        <v>40</v>
      </c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15"/>
      <c r="AM4" s="39" t="s">
        <v>31</v>
      </c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15"/>
      <c r="AY4" s="39" t="s">
        <v>37</v>
      </c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15"/>
      <c r="BK4" s="39" t="s">
        <v>37</v>
      </c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15"/>
      <c r="BW4" s="39" t="s">
        <v>37</v>
      </c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15"/>
    </row>
    <row r="5" spans="2:86" x14ac:dyDescent="0.3">
      <c r="C5" s="17"/>
      <c r="D5" s="17"/>
      <c r="E5" s="17"/>
      <c r="F5" s="17"/>
      <c r="G5" s="55" t="s">
        <v>69</v>
      </c>
      <c r="H5" s="56"/>
      <c r="I5" s="57"/>
      <c r="J5" s="17"/>
      <c r="K5" s="17"/>
      <c r="L5" s="17"/>
      <c r="M5" s="17"/>
      <c r="O5" s="17"/>
      <c r="P5" s="17"/>
      <c r="Q5" s="17"/>
      <c r="R5" s="17"/>
      <c r="S5" s="55" t="s">
        <v>69</v>
      </c>
      <c r="T5" s="56"/>
      <c r="U5" s="57"/>
      <c r="V5" s="17"/>
      <c r="W5" s="17"/>
      <c r="X5" s="17"/>
      <c r="Y5" s="17"/>
      <c r="AA5" s="17"/>
      <c r="AB5" s="17"/>
      <c r="AC5" s="17"/>
      <c r="AD5" s="17"/>
      <c r="AE5" s="55" t="s">
        <v>69</v>
      </c>
      <c r="AF5" s="56"/>
      <c r="AG5" s="57"/>
      <c r="AH5" s="17"/>
      <c r="AI5" s="17"/>
      <c r="AJ5" s="17"/>
      <c r="AK5" s="17"/>
      <c r="AM5" s="17"/>
      <c r="AN5" s="17"/>
      <c r="AO5" s="17"/>
      <c r="AP5" s="17"/>
      <c r="AQ5" s="55" t="s">
        <v>69</v>
      </c>
      <c r="AR5" s="56"/>
      <c r="AS5" s="57"/>
      <c r="AT5" s="17"/>
      <c r="AU5" s="17"/>
      <c r="AV5" s="17"/>
      <c r="AW5" s="17"/>
      <c r="AY5" s="17"/>
      <c r="AZ5" s="17"/>
      <c r="BA5" s="17"/>
      <c r="BB5" s="17"/>
      <c r="BC5" s="55" t="s">
        <v>69</v>
      </c>
      <c r="BD5" s="56"/>
      <c r="BE5" s="57"/>
      <c r="BF5" s="17"/>
      <c r="BG5" s="17"/>
      <c r="BH5" s="17"/>
      <c r="BI5" s="17"/>
      <c r="BK5" s="17"/>
      <c r="BL5" s="17"/>
      <c r="BM5" s="17"/>
      <c r="BN5" s="17"/>
      <c r="BO5" s="55" t="s">
        <v>69</v>
      </c>
      <c r="BP5" s="56"/>
      <c r="BQ5" s="57"/>
      <c r="BR5" s="17"/>
      <c r="BS5" s="17"/>
      <c r="BT5" s="17"/>
      <c r="BU5" s="17"/>
      <c r="BW5" s="17"/>
      <c r="BX5" s="17"/>
      <c r="BY5" s="17"/>
      <c r="BZ5" s="17"/>
      <c r="CA5" s="55" t="s">
        <v>69</v>
      </c>
      <c r="CB5" s="56"/>
      <c r="CC5" s="57"/>
      <c r="CD5" s="17"/>
      <c r="CE5" s="17"/>
      <c r="CF5" s="17"/>
      <c r="CG5" s="17"/>
    </row>
    <row r="6" spans="2:86" x14ac:dyDescent="0.3">
      <c r="C6" s="17"/>
      <c r="D6" s="17"/>
      <c r="E6" s="17"/>
      <c r="F6" s="17"/>
      <c r="G6" s="58"/>
      <c r="H6" s="59"/>
      <c r="I6" s="60"/>
      <c r="J6" s="17"/>
      <c r="K6" s="17"/>
      <c r="L6" s="17"/>
      <c r="M6" s="17"/>
      <c r="O6" s="17"/>
      <c r="P6" s="17"/>
      <c r="Q6" s="17"/>
      <c r="R6" s="17"/>
      <c r="S6" s="58"/>
      <c r="T6" s="59"/>
      <c r="U6" s="60"/>
      <c r="V6" s="17"/>
      <c r="W6" s="17"/>
      <c r="X6" s="17"/>
      <c r="Y6" s="17"/>
      <c r="AA6" s="17"/>
      <c r="AB6" s="17"/>
      <c r="AC6" s="17"/>
      <c r="AD6" s="17"/>
      <c r="AE6" s="58"/>
      <c r="AF6" s="59"/>
      <c r="AG6" s="60"/>
      <c r="AH6" s="17"/>
      <c r="AI6" s="17"/>
      <c r="AJ6" s="17"/>
      <c r="AK6" s="17"/>
      <c r="AM6" s="17"/>
      <c r="AN6" s="17"/>
      <c r="AO6" s="17"/>
      <c r="AP6" s="17"/>
      <c r="AQ6" s="58"/>
      <c r="AR6" s="59"/>
      <c r="AS6" s="60"/>
      <c r="AT6" s="17"/>
      <c r="AU6" s="17"/>
      <c r="AV6" s="17"/>
      <c r="AW6" s="17"/>
      <c r="AY6" s="17"/>
      <c r="AZ6" s="17"/>
      <c r="BA6" s="17"/>
      <c r="BB6" s="17"/>
      <c r="BC6" s="58"/>
      <c r="BD6" s="59"/>
      <c r="BE6" s="60"/>
      <c r="BF6" s="17"/>
      <c r="BG6" s="17"/>
      <c r="BH6" s="17"/>
      <c r="BI6" s="17"/>
      <c r="BK6" s="17"/>
      <c r="BL6" s="17"/>
      <c r="BM6" s="17"/>
      <c r="BN6" s="17"/>
      <c r="BO6" s="58"/>
      <c r="BP6" s="59"/>
      <c r="BQ6" s="60"/>
      <c r="BR6" s="17"/>
      <c r="BS6" s="17"/>
      <c r="BT6" s="17"/>
      <c r="BU6" s="17"/>
      <c r="BW6" s="17"/>
      <c r="BX6" s="17"/>
      <c r="BY6" s="17"/>
      <c r="BZ6" s="17"/>
      <c r="CA6" s="58"/>
      <c r="CB6" s="59"/>
      <c r="CC6" s="60"/>
      <c r="CD6" s="17"/>
      <c r="CE6" s="17"/>
      <c r="CF6" s="17"/>
      <c r="CG6" s="17"/>
    </row>
    <row r="7" spans="2:86" x14ac:dyDescent="0.3">
      <c r="C7" s="61"/>
      <c r="D7" s="61"/>
      <c r="E7" s="61"/>
      <c r="F7" s="62"/>
      <c r="G7" s="63">
        <v>12</v>
      </c>
      <c r="H7" s="63"/>
      <c r="I7" s="63"/>
      <c r="J7" s="64"/>
      <c r="K7" s="65"/>
      <c r="L7" s="65"/>
      <c r="M7" s="65"/>
      <c r="O7" s="61"/>
      <c r="P7" s="61"/>
      <c r="Q7" s="61"/>
      <c r="R7" s="62"/>
      <c r="S7" s="63">
        <v>12</v>
      </c>
      <c r="T7" s="63"/>
      <c r="U7" s="63"/>
      <c r="V7" s="64"/>
      <c r="W7" s="65"/>
      <c r="X7" s="65"/>
      <c r="Y7" s="65"/>
      <c r="AA7" s="61"/>
      <c r="AB7" s="61"/>
      <c r="AC7" s="61"/>
      <c r="AD7" s="62"/>
      <c r="AE7" s="63">
        <v>11</v>
      </c>
      <c r="AF7" s="63"/>
      <c r="AG7" s="63"/>
      <c r="AH7" s="64"/>
      <c r="AI7" s="65"/>
      <c r="AJ7" s="65"/>
      <c r="AK7" s="65"/>
      <c r="AM7" s="61"/>
      <c r="AN7" s="61"/>
      <c r="AO7" s="61"/>
      <c r="AP7" s="62"/>
      <c r="AQ7" s="63">
        <v>10</v>
      </c>
      <c r="AR7" s="63"/>
      <c r="AS7" s="63"/>
      <c r="AT7" s="64"/>
      <c r="AU7" s="65"/>
      <c r="AV7" s="65"/>
      <c r="AW7" s="65"/>
      <c r="AY7" s="61"/>
      <c r="AZ7" s="61"/>
      <c r="BA7" s="61"/>
      <c r="BB7" s="62"/>
      <c r="BC7" s="63">
        <v>9</v>
      </c>
      <c r="BD7" s="63"/>
      <c r="BE7" s="63"/>
      <c r="BF7" s="64"/>
      <c r="BG7" s="65"/>
      <c r="BH7" s="65"/>
      <c r="BI7" s="65"/>
      <c r="BK7" s="61"/>
      <c r="BL7" s="61"/>
      <c r="BM7" s="61"/>
      <c r="BN7" s="62"/>
      <c r="BO7" s="63">
        <v>8</v>
      </c>
      <c r="BP7" s="63"/>
      <c r="BQ7" s="63"/>
      <c r="BR7" s="64"/>
      <c r="BS7" s="65"/>
      <c r="BT7" s="65"/>
      <c r="BU7" s="65"/>
      <c r="BW7" s="61"/>
      <c r="BX7" s="61"/>
      <c r="BY7" s="61"/>
      <c r="BZ7" s="62"/>
      <c r="CA7" s="63">
        <v>7</v>
      </c>
      <c r="CB7" s="63"/>
      <c r="CC7" s="63"/>
      <c r="CD7" s="64"/>
      <c r="CE7" s="65"/>
      <c r="CF7" s="65"/>
      <c r="CG7" s="65"/>
    </row>
    <row r="8" spans="2:86" x14ac:dyDescent="0.3">
      <c r="C8" s="66"/>
      <c r="D8" s="67"/>
      <c r="E8" s="67"/>
      <c r="F8" s="68"/>
      <c r="G8" s="66" t="s">
        <v>67</v>
      </c>
      <c r="H8" s="67"/>
      <c r="I8" s="68"/>
      <c r="J8" s="66"/>
      <c r="K8" s="67"/>
      <c r="L8" s="67"/>
      <c r="M8" s="68"/>
      <c r="O8" s="66"/>
      <c r="P8" s="67"/>
      <c r="Q8" s="67"/>
      <c r="R8" s="68"/>
      <c r="S8" s="66" t="s">
        <v>67</v>
      </c>
      <c r="T8" s="67"/>
      <c r="U8" s="68"/>
      <c r="V8" s="66"/>
      <c r="W8" s="67"/>
      <c r="X8" s="67"/>
      <c r="Y8" s="68"/>
      <c r="AA8" s="66"/>
      <c r="AB8" s="67"/>
      <c r="AC8" s="67"/>
      <c r="AD8" s="68"/>
      <c r="AE8" s="66" t="s">
        <v>67</v>
      </c>
      <c r="AF8" s="67"/>
      <c r="AG8" s="68"/>
      <c r="AH8" s="66"/>
      <c r="AI8" s="67"/>
      <c r="AJ8" s="67"/>
      <c r="AK8" s="68"/>
      <c r="AM8" s="66"/>
      <c r="AN8" s="67"/>
      <c r="AO8" s="67"/>
      <c r="AP8" s="68"/>
      <c r="AQ8" s="66" t="s">
        <v>67</v>
      </c>
      <c r="AR8" s="67"/>
      <c r="AS8" s="68"/>
      <c r="AT8" s="66"/>
      <c r="AU8" s="67"/>
      <c r="AV8" s="67"/>
      <c r="AW8" s="68"/>
      <c r="AY8" s="66"/>
      <c r="AZ8" s="67"/>
      <c r="BA8" s="67"/>
      <c r="BB8" s="68"/>
      <c r="BC8" s="66" t="s">
        <v>67</v>
      </c>
      <c r="BD8" s="67"/>
      <c r="BE8" s="68"/>
      <c r="BF8" s="66"/>
      <c r="BG8" s="67"/>
      <c r="BH8" s="67"/>
      <c r="BI8" s="68"/>
      <c r="BK8" s="66"/>
      <c r="BL8" s="67"/>
      <c r="BM8" s="67"/>
      <c r="BN8" s="68"/>
      <c r="BO8" s="66" t="s">
        <v>67</v>
      </c>
      <c r="BP8" s="67"/>
      <c r="BQ8" s="68"/>
      <c r="BR8" s="66"/>
      <c r="BS8" s="67"/>
      <c r="BT8" s="67"/>
      <c r="BU8" s="68"/>
      <c r="BW8" s="66"/>
      <c r="BX8" s="67"/>
      <c r="BY8" s="67"/>
      <c r="BZ8" s="68"/>
      <c r="CA8" s="66" t="s">
        <v>67</v>
      </c>
      <c r="CB8" s="67"/>
      <c r="CC8" s="68"/>
      <c r="CD8" s="66"/>
      <c r="CE8" s="67"/>
      <c r="CF8" s="67"/>
      <c r="CG8" s="68"/>
    </row>
    <row r="9" spans="2:86" x14ac:dyDescent="0.3">
      <c r="C9" s="69"/>
      <c r="D9" s="70"/>
      <c r="E9" s="70"/>
      <c r="F9" s="71"/>
      <c r="G9" s="69"/>
      <c r="H9" s="70"/>
      <c r="I9" s="71"/>
      <c r="J9" s="69"/>
      <c r="K9" s="70"/>
      <c r="L9" s="70"/>
      <c r="M9" s="71"/>
      <c r="O9" s="69"/>
      <c r="P9" s="70"/>
      <c r="Q9" s="70"/>
      <c r="R9" s="71"/>
      <c r="S9" s="69"/>
      <c r="T9" s="70"/>
      <c r="U9" s="71"/>
      <c r="V9" s="69"/>
      <c r="W9" s="70"/>
      <c r="X9" s="70"/>
      <c r="Y9" s="71"/>
      <c r="AA9" s="69"/>
      <c r="AB9" s="70"/>
      <c r="AC9" s="70"/>
      <c r="AD9" s="71"/>
      <c r="AE9" s="69"/>
      <c r="AF9" s="70"/>
      <c r="AG9" s="71"/>
      <c r="AH9" s="69"/>
      <c r="AI9" s="70"/>
      <c r="AJ9" s="70"/>
      <c r="AK9" s="71"/>
      <c r="AM9" s="69"/>
      <c r="AN9" s="70"/>
      <c r="AO9" s="70"/>
      <c r="AP9" s="71"/>
      <c r="AQ9" s="69"/>
      <c r="AR9" s="70"/>
      <c r="AS9" s="71"/>
      <c r="AT9" s="69"/>
      <c r="AU9" s="70"/>
      <c r="AV9" s="70"/>
      <c r="AW9" s="71"/>
      <c r="AY9" s="69"/>
      <c r="AZ9" s="70"/>
      <c r="BA9" s="70"/>
      <c r="BB9" s="71"/>
      <c r="BC9" s="69"/>
      <c r="BD9" s="70"/>
      <c r="BE9" s="71"/>
      <c r="BF9" s="69"/>
      <c r="BG9" s="70"/>
      <c r="BH9" s="70"/>
      <c r="BI9" s="71"/>
      <c r="BK9" s="69"/>
      <c r="BL9" s="70"/>
      <c r="BM9" s="70"/>
      <c r="BN9" s="71"/>
      <c r="BO9" s="69"/>
      <c r="BP9" s="70"/>
      <c r="BQ9" s="71"/>
      <c r="BR9" s="69"/>
      <c r="BS9" s="70"/>
      <c r="BT9" s="70"/>
      <c r="BU9" s="71"/>
      <c r="BW9" s="69"/>
      <c r="BX9" s="70"/>
      <c r="BY9" s="70"/>
      <c r="BZ9" s="71"/>
      <c r="CA9" s="69"/>
      <c r="CB9" s="70"/>
      <c r="CC9" s="71"/>
      <c r="CD9" s="69"/>
      <c r="CE9" s="70"/>
      <c r="CF9" s="70"/>
      <c r="CG9" s="71"/>
    </row>
    <row r="10" spans="2:86" x14ac:dyDescent="0.3">
      <c r="C10" s="45"/>
      <c r="D10" s="45"/>
      <c r="E10" s="45"/>
      <c r="F10" s="46"/>
      <c r="G10" s="47">
        <v>44780</v>
      </c>
      <c r="H10" s="48"/>
      <c r="I10" s="49"/>
      <c r="J10" s="50"/>
      <c r="K10" s="45"/>
      <c r="L10" s="45"/>
      <c r="M10" s="45"/>
      <c r="O10" s="45"/>
      <c r="P10" s="45"/>
      <c r="Q10" s="45"/>
      <c r="R10" s="46"/>
      <c r="S10" s="47">
        <v>44780</v>
      </c>
      <c r="T10" s="48"/>
      <c r="U10" s="49"/>
      <c r="V10" s="50"/>
      <c r="W10" s="45"/>
      <c r="X10" s="45"/>
      <c r="Y10" s="45"/>
      <c r="AA10" s="45"/>
      <c r="AB10" s="45"/>
      <c r="AC10" s="45"/>
      <c r="AD10" s="46"/>
      <c r="AE10" s="47">
        <v>44780</v>
      </c>
      <c r="AF10" s="48"/>
      <c r="AG10" s="49"/>
      <c r="AH10" s="50"/>
      <c r="AI10" s="45"/>
      <c r="AJ10" s="45"/>
      <c r="AK10" s="45"/>
      <c r="AM10" s="45"/>
      <c r="AN10" s="45"/>
      <c r="AO10" s="45"/>
      <c r="AP10" s="46"/>
      <c r="AQ10" s="47">
        <v>44779</v>
      </c>
      <c r="AR10" s="48"/>
      <c r="AS10" s="49"/>
      <c r="AT10" s="50"/>
      <c r="AU10" s="45"/>
      <c r="AV10" s="45"/>
      <c r="AW10" s="45"/>
      <c r="AY10" s="45"/>
      <c r="AZ10" s="45"/>
      <c r="BA10" s="45"/>
      <c r="BB10" s="46"/>
      <c r="BC10" s="47">
        <v>44779</v>
      </c>
      <c r="BD10" s="48"/>
      <c r="BE10" s="49"/>
      <c r="BF10" s="50"/>
      <c r="BG10" s="45"/>
      <c r="BH10" s="45"/>
      <c r="BI10" s="45"/>
      <c r="BK10" s="45"/>
      <c r="BL10" s="45"/>
      <c r="BM10" s="45"/>
      <c r="BN10" s="46"/>
      <c r="BO10" s="47">
        <v>44779</v>
      </c>
      <c r="BP10" s="48"/>
      <c r="BQ10" s="49"/>
      <c r="BR10" s="50"/>
      <c r="BS10" s="45"/>
      <c r="BT10" s="45"/>
      <c r="BU10" s="45"/>
      <c r="BW10" s="45"/>
      <c r="BX10" s="45"/>
      <c r="BY10" s="45"/>
      <c r="BZ10" s="46"/>
      <c r="CA10" s="47">
        <v>44779</v>
      </c>
      <c r="CB10" s="48"/>
      <c r="CC10" s="49"/>
      <c r="CD10" s="50"/>
      <c r="CE10" s="45"/>
      <c r="CF10" s="45"/>
      <c r="CG10" s="45"/>
    </row>
    <row r="11" spans="2:86" x14ac:dyDescent="0.3">
      <c r="C11" s="51"/>
      <c r="D11" s="52"/>
      <c r="E11" s="52"/>
      <c r="F11" s="53"/>
      <c r="G11" s="51" t="s">
        <v>68</v>
      </c>
      <c r="H11" s="52"/>
      <c r="I11" s="53"/>
      <c r="J11" s="51"/>
      <c r="K11" s="52"/>
      <c r="L11" s="52"/>
      <c r="M11" s="53"/>
      <c r="O11" s="51"/>
      <c r="P11" s="52"/>
      <c r="Q11" s="52"/>
      <c r="R11" s="53"/>
      <c r="S11" s="51" t="s">
        <v>68</v>
      </c>
      <c r="T11" s="52"/>
      <c r="U11" s="53"/>
      <c r="V11" s="51"/>
      <c r="W11" s="52"/>
      <c r="X11" s="52"/>
      <c r="Y11" s="53"/>
      <c r="AA11" s="51"/>
      <c r="AB11" s="52"/>
      <c r="AC11" s="52"/>
      <c r="AD11" s="53"/>
      <c r="AE11" s="51" t="s">
        <v>68</v>
      </c>
      <c r="AF11" s="52"/>
      <c r="AG11" s="53"/>
      <c r="AH11" s="51"/>
      <c r="AI11" s="52"/>
      <c r="AJ11" s="52"/>
      <c r="AK11" s="53"/>
      <c r="AM11" s="51"/>
      <c r="AN11" s="52"/>
      <c r="AO11" s="52"/>
      <c r="AP11" s="53"/>
      <c r="AQ11" s="51" t="s">
        <v>68</v>
      </c>
      <c r="AR11" s="52"/>
      <c r="AS11" s="53"/>
      <c r="AT11" s="51"/>
      <c r="AU11" s="52"/>
      <c r="AV11" s="52"/>
      <c r="AW11" s="53"/>
      <c r="AY11" s="51"/>
      <c r="AZ11" s="52"/>
      <c r="BA11" s="52"/>
      <c r="BB11" s="53"/>
      <c r="BC11" s="51" t="s">
        <v>68</v>
      </c>
      <c r="BD11" s="52"/>
      <c r="BE11" s="53"/>
      <c r="BF11" s="51"/>
      <c r="BG11" s="52"/>
      <c r="BH11" s="52"/>
      <c r="BI11" s="53"/>
      <c r="BK11" s="51"/>
      <c r="BL11" s="52"/>
      <c r="BM11" s="52"/>
      <c r="BN11" s="53"/>
      <c r="BO11" s="51" t="s">
        <v>68</v>
      </c>
      <c r="BP11" s="52"/>
      <c r="BQ11" s="53"/>
      <c r="BR11" s="51"/>
      <c r="BS11" s="52"/>
      <c r="BT11" s="52"/>
      <c r="BU11" s="53"/>
      <c r="BW11" s="51"/>
      <c r="BX11" s="52"/>
      <c r="BY11" s="52"/>
      <c r="BZ11" s="53"/>
      <c r="CA11" s="51" t="s">
        <v>68</v>
      </c>
      <c r="CB11" s="52"/>
      <c r="CC11" s="53"/>
      <c r="CD11" s="51"/>
      <c r="CE11" s="52"/>
      <c r="CF11" s="52"/>
      <c r="CG11" s="53"/>
    </row>
    <row r="12" spans="2:86" x14ac:dyDescent="0.3">
      <c r="C12" s="40"/>
      <c r="D12" s="41"/>
      <c r="E12" s="41"/>
      <c r="F12" s="41"/>
      <c r="G12" s="42"/>
      <c r="H12" s="42"/>
      <c r="I12" s="42"/>
      <c r="J12" s="43"/>
      <c r="K12" s="44"/>
      <c r="L12" s="44"/>
      <c r="M12" s="44"/>
      <c r="O12" s="40"/>
      <c r="P12" s="41"/>
      <c r="Q12" s="41"/>
      <c r="R12" s="41"/>
      <c r="S12" s="42"/>
      <c r="T12" s="42"/>
      <c r="U12" s="42"/>
      <c r="V12" s="43"/>
      <c r="W12" s="44"/>
      <c r="X12" s="44"/>
      <c r="Y12" s="44"/>
      <c r="AA12" s="40"/>
      <c r="AB12" s="41"/>
      <c r="AC12" s="41"/>
      <c r="AD12" s="41"/>
      <c r="AE12" s="42"/>
      <c r="AF12" s="42"/>
      <c r="AG12" s="42"/>
      <c r="AH12" s="43"/>
      <c r="AI12" s="44"/>
      <c r="AJ12" s="44"/>
      <c r="AK12" s="44"/>
      <c r="AM12" s="40"/>
      <c r="AN12" s="41"/>
      <c r="AO12" s="41"/>
      <c r="AP12" s="41"/>
      <c r="AQ12" s="42" t="s">
        <v>17</v>
      </c>
      <c r="AR12" s="42"/>
      <c r="AS12" s="42"/>
      <c r="AT12" s="43"/>
      <c r="AU12" s="44"/>
      <c r="AV12" s="44"/>
      <c r="AW12" s="44"/>
      <c r="AY12" s="40"/>
      <c r="AZ12" s="41"/>
      <c r="BA12" s="41"/>
      <c r="BB12" s="41"/>
      <c r="BC12" s="42" t="s">
        <v>17</v>
      </c>
      <c r="BD12" s="42"/>
      <c r="BE12" s="42"/>
      <c r="BF12" s="43"/>
      <c r="BG12" s="44"/>
      <c r="BH12" s="44"/>
      <c r="BI12" s="44"/>
      <c r="BK12" s="40"/>
      <c r="BL12" s="41"/>
      <c r="BM12" s="41"/>
      <c r="BN12" s="41"/>
      <c r="BO12" s="42" t="s">
        <v>15</v>
      </c>
      <c r="BP12" s="42"/>
      <c r="BQ12" s="42"/>
      <c r="BR12" s="43"/>
      <c r="BS12" s="44"/>
      <c r="BT12" s="44"/>
      <c r="BU12" s="44"/>
      <c r="BW12" s="40"/>
      <c r="BX12" s="41"/>
      <c r="BY12" s="41"/>
      <c r="BZ12" s="41"/>
      <c r="CA12" s="42" t="s">
        <v>17</v>
      </c>
      <c r="CB12" s="42"/>
      <c r="CC12" s="42"/>
      <c r="CD12" s="43"/>
      <c r="CE12" s="44"/>
      <c r="CF12" s="44"/>
      <c r="CG12" s="44"/>
    </row>
    <row r="13" spans="2:86" x14ac:dyDescent="0.3">
      <c r="C13" s="40"/>
      <c r="D13" s="41"/>
      <c r="E13" s="41"/>
      <c r="F13" s="41"/>
      <c r="G13" s="42"/>
      <c r="H13" s="42"/>
      <c r="I13" s="42"/>
      <c r="J13" s="43"/>
      <c r="K13" s="44"/>
      <c r="L13" s="44"/>
      <c r="M13" s="44"/>
      <c r="O13" s="40"/>
      <c r="P13" s="41"/>
      <c r="Q13" s="41"/>
      <c r="R13" s="41"/>
      <c r="S13" s="42"/>
      <c r="T13" s="42"/>
      <c r="U13" s="42"/>
      <c r="V13" s="43"/>
      <c r="W13" s="44"/>
      <c r="X13" s="44"/>
      <c r="Y13" s="44"/>
      <c r="AA13" s="40"/>
      <c r="AB13" s="41"/>
      <c r="AC13" s="41"/>
      <c r="AD13" s="41"/>
      <c r="AE13" s="42"/>
      <c r="AF13" s="42"/>
      <c r="AG13" s="42"/>
      <c r="AH13" s="43"/>
      <c r="AI13" s="44"/>
      <c r="AJ13" s="44"/>
      <c r="AK13" s="44"/>
      <c r="AM13" s="40"/>
      <c r="AN13" s="41"/>
      <c r="AO13" s="41"/>
      <c r="AP13" s="41"/>
      <c r="AQ13" s="42"/>
      <c r="AR13" s="42"/>
      <c r="AS13" s="42"/>
      <c r="AT13" s="43"/>
      <c r="AU13" s="44"/>
      <c r="AV13" s="44"/>
      <c r="AW13" s="44"/>
      <c r="AY13" s="40"/>
      <c r="AZ13" s="41"/>
      <c r="BA13" s="41"/>
      <c r="BB13" s="41"/>
      <c r="BC13" s="42"/>
      <c r="BD13" s="42"/>
      <c r="BE13" s="42"/>
      <c r="BF13" s="43"/>
      <c r="BG13" s="44"/>
      <c r="BH13" s="44"/>
      <c r="BI13" s="44"/>
      <c r="BK13" s="40"/>
      <c r="BL13" s="41"/>
      <c r="BM13" s="41"/>
      <c r="BN13" s="41"/>
      <c r="BO13" s="42"/>
      <c r="BP13" s="42"/>
      <c r="BQ13" s="42"/>
      <c r="BR13" s="43"/>
      <c r="BS13" s="44"/>
      <c r="BT13" s="44"/>
      <c r="BU13" s="44"/>
      <c r="BW13" s="40"/>
      <c r="BX13" s="41"/>
      <c r="BY13" s="41"/>
      <c r="BZ13" s="41"/>
      <c r="CA13" s="42"/>
      <c r="CB13" s="42"/>
      <c r="CC13" s="42"/>
      <c r="CD13" s="43"/>
      <c r="CE13" s="44"/>
      <c r="CF13" s="44"/>
      <c r="CG13" s="44"/>
    </row>
    <row r="14" spans="2:86" x14ac:dyDescent="0.3">
      <c r="C14" s="40"/>
      <c r="D14" s="41"/>
      <c r="E14" s="41"/>
      <c r="F14" s="41"/>
      <c r="G14" s="42"/>
      <c r="H14" s="42"/>
      <c r="I14" s="42"/>
      <c r="J14" s="43"/>
      <c r="K14" s="44"/>
      <c r="L14" s="44"/>
      <c r="M14" s="44"/>
      <c r="O14" s="40"/>
      <c r="P14" s="41"/>
      <c r="Q14" s="41"/>
      <c r="R14" s="41"/>
      <c r="S14" s="42"/>
      <c r="T14" s="42"/>
      <c r="U14" s="42"/>
      <c r="V14" s="43"/>
      <c r="W14" s="44"/>
      <c r="X14" s="44"/>
      <c r="Y14" s="44"/>
      <c r="AA14" s="40"/>
      <c r="AB14" s="41"/>
      <c r="AC14" s="41"/>
      <c r="AD14" s="41"/>
      <c r="AE14" s="42" t="s">
        <v>17</v>
      </c>
      <c r="AF14" s="42"/>
      <c r="AG14" s="42"/>
      <c r="AH14" s="43"/>
      <c r="AI14" s="44"/>
      <c r="AJ14" s="44"/>
      <c r="AK14" s="44"/>
      <c r="AM14" s="40"/>
      <c r="AN14" s="41"/>
      <c r="AO14" s="41"/>
      <c r="AP14" s="41"/>
      <c r="AQ14" s="42"/>
      <c r="AR14" s="42"/>
      <c r="AS14" s="42"/>
      <c r="AT14" s="43"/>
      <c r="AU14" s="44"/>
      <c r="AV14" s="44"/>
      <c r="AW14" s="44"/>
      <c r="AY14" s="40"/>
      <c r="AZ14" s="41"/>
      <c r="BA14" s="41"/>
      <c r="BB14" s="41"/>
      <c r="BC14" s="42"/>
      <c r="BD14" s="42"/>
      <c r="BE14" s="42"/>
      <c r="BF14" s="43"/>
      <c r="BG14" s="44"/>
      <c r="BH14" s="44"/>
      <c r="BI14" s="44"/>
      <c r="BK14" s="40"/>
      <c r="BL14" s="41"/>
      <c r="BM14" s="41"/>
      <c r="BN14" s="41"/>
      <c r="BO14" s="42"/>
      <c r="BP14" s="42"/>
      <c r="BQ14" s="42"/>
      <c r="BR14" s="43"/>
      <c r="BS14" s="44"/>
      <c r="BT14" s="44"/>
      <c r="BU14" s="44"/>
      <c r="BW14" s="40"/>
      <c r="BX14" s="41"/>
      <c r="BY14" s="41"/>
      <c r="BZ14" s="41"/>
      <c r="CA14" s="42"/>
      <c r="CB14" s="42"/>
      <c r="CC14" s="42"/>
      <c r="CD14" s="43"/>
      <c r="CE14" s="44"/>
      <c r="CF14" s="44"/>
      <c r="CG14" s="44"/>
    </row>
    <row r="15" spans="2:86" x14ac:dyDescent="0.3">
      <c r="C15" s="40"/>
      <c r="D15" s="41"/>
      <c r="E15" s="41"/>
      <c r="F15" s="41"/>
      <c r="G15" s="42"/>
      <c r="H15" s="42"/>
      <c r="I15" s="42"/>
      <c r="J15" s="43"/>
      <c r="K15" s="44"/>
      <c r="L15" s="44"/>
      <c r="M15" s="44"/>
      <c r="O15" s="40"/>
      <c r="P15" s="41"/>
      <c r="Q15" s="41"/>
      <c r="R15" s="41"/>
      <c r="S15" s="42"/>
      <c r="T15" s="42"/>
      <c r="U15" s="42"/>
      <c r="V15" s="43"/>
      <c r="W15" s="44"/>
      <c r="X15" s="44"/>
      <c r="Y15" s="44"/>
      <c r="AA15" s="40"/>
      <c r="AB15" s="41"/>
      <c r="AC15" s="41"/>
      <c r="AD15" s="41"/>
      <c r="AE15" s="42"/>
      <c r="AF15" s="42"/>
      <c r="AG15" s="42"/>
      <c r="AH15" s="43"/>
      <c r="AI15" s="44"/>
      <c r="AJ15" s="44"/>
      <c r="AK15" s="44"/>
      <c r="AM15" s="40"/>
      <c r="AN15" s="41"/>
      <c r="AO15" s="41"/>
      <c r="AP15" s="41"/>
      <c r="AQ15" s="42"/>
      <c r="AR15" s="42"/>
      <c r="AS15" s="42"/>
      <c r="AT15" s="43"/>
      <c r="AU15" s="44"/>
      <c r="AV15" s="44"/>
      <c r="AW15" s="44"/>
      <c r="AY15" s="40"/>
      <c r="AZ15" s="41"/>
      <c r="BA15" s="41"/>
      <c r="BB15" s="41"/>
      <c r="BC15" s="42"/>
      <c r="BD15" s="42"/>
      <c r="BE15" s="42"/>
      <c r="BF15" s="43"/>
      <c r="BG15" s="44"/>
      <c r="BH15" s="44"/>
      <c r="BI15" s="44"/>
      <c r="BK15" s="40"/>
      <c r="BL15" s="41"/>
      <c r="BM15" s="41"/>
      <c r="BN15" s="41"/>
      <c r="BO15" s="42"/>
      <c r="BP15" s="42"/>
      <c r="BQ15" s="42"/>
      <c r="BR15" s="43"/>
      <c r="BS15" s="44"/>
      <c r="BT15" s="44"/>
      <c r="BU15" s="44"/>
      <c r="BW15" s="40"/>
      <c r="BX15" s="41"/>
      <c r="BY15" s="41"/>
      <c r="BZ15" s="41"/>
      <c r="CA15" s="42"/>
      <c r="CB15" s="42"/>
      <c r="CC15" s="42"/>
      <c r="CD15" s="43"/>
      <c r="CE15" s="44"/>
      <c r="CF15" s="44"/>
      <c r="CG15" s="44"/>
    </row>
    <row r="16" spans="2:86" x14ac:dyDescent="0.3">
      <c r="C16" s="40"/>
      <c r="D16" s="41"/>
      <c r="E16" s="41"/>
      <c r="F16" s="41"/>
      <c r="G16" s="42"/>
      <c r="H16" s="42"/>
      <c r="I16" s="42"/>
      <c r="J16" s="43"/>
      <c r="K16" s="44"/>
      <c r="L16" s="44"/>
      <c r="M16" s="44"/>
      <c r="O16" s="40"/>
      <c r="P16" s="41"/>
      <c r="Q16" s="41"/>
      <c r="R16" s="41"/>
      <c r="S16" s="42"/>
      <c r="T16" s="42"/>
      <c r="U16" s="42"/>
      <c r="V16" s="43"/>
      <c r="W16" s="44"/>
      <c r="X16" s="44"/>
      <c r="Y16" s="44"/>
      <c r="AA16" s="40"/>
      <c r="AB16" s="41"/>
      <c r="AC16" s="41"/>
      <c r="AD16" s="41"/>
      <c r="AE16" s="42"/>
      <c r="AF16" s="42"/>
      <c r="AG16" s="42"/>
      <c r="AH16" s="43"/>
      <c r="AI16" s="44"/>
      <c r="AJ16" s="44"/>
      <c r="AK16" s="44"/>
      <c r="AM16" s="40"/>
      <c r="AN16" s="41"/>
      <c r="AO16" s="41"/>
      <c r="AP16" s="41"/>
      <c r="AQ16" s="42"/>
      <c r="AR16" s="42"/>
      <c r="AS16" s="42"/>
      <c r="AT16" s="43"/>
      <c r="AU16" s="44"/>
      <c r="AV16" s="44"/>
      <c r="AW16" s="44"/>
      <c r="AY16" s="40"/>
      <c r="AZ16" s="41"/>
      <c r="BA16" s="41"/>
      <c r="BB16" s="41"/>
      <c r="BC16" s="42"/>
      <c r="BD16" s="42"/>
      <c r="BE16" s="42"/>
      <c r="BF16" s="43"/>
      <c r="BG16" s="44"/>
      <c r="BH16" s="44"/>
      <c r="BI16" s="44"/>
      <c r="BK16" s="40"/>
      <c r="BL16" s="41"/>
      <c r="BM16" s="41"/>
      <c r="BN16" s="41"/>
      <c r="BO16" s="42"/>
      <c r="BP16" s="42"/>
      <c r="BQ16" s="42"/>
      <c r="BR16" s="43"/>
      <c r="BS16" s="44"/>
      <c r="BT16" s="44"/>
      <c r="BU16" s="44"/>
      <c r="BW16" s="40"/>
      <c r="BX16" s="41"/>
      <c r="BY16" s="41"/>
      <c r="BZ16" s="41"/>
      <c r="CA16" s="42"/>
      <c r="CB16" s="42"/>
      <c r="CC16" s="42"/>
      <c r="CD16" s="43"/>
      <c r="CE16" s="44"/>
      <c r="CF16" s="44"/>
      <c r="CG16" s="44"/>
    </row>
    <row r="17" spans="3:85" x14ac:dyDescent="0.3">
      <c r="C17" s="40"/>
      <c r="D17" s="41"/>
      <c r="E17" s="41"/>
      <c r="F17" s="41"/>
      <c r="G17" s="42"/>
      <c r="H17" s="42"/>
      <c r="I17" s="42"/>
      <c r="J17" s="43"/>
      <c r="K17" s="44"/>
      <c r="L17" s="44"/>
      <c r="M17" s="44"/>
      <c r="O17" s="40"/>
      <c r="P17" s="41"/>
      <c r="Q17" s="41"/>
      <c r="R17" s="41"/>
      <c r="S17" s="42"/>
      <c r="T17" s="42"/>
      <c r="U17" s="42"/>
      <c r="V17" s="43"/>
      <c r="W17" s="44"/>
      <c r="X17" s="44"/>
      <c r="Y17" s="44"/>
      <c r="AA17" s="40"/>
      <c r="AB17" s="41"/>
      <c r="AC17" s="41"/>
      <c r="AD17" s="41"/>
      <c r="AE17" s="42"/>
      <c r="AF17" s="42"/>
      <c r="AG17" s="42"/>
      <c r="AH17" s="43"/>
      <c r="AI17" s="44"/>
      <c r="AJ17" s="44"/>
      <c r="AK17" s="44"/>
      <c r="AM17" s="40"/>
      <c r="AN17" s="41"/>
      <c r="AO17" s="41"/>
      <c r="AP17" s="41"/>
      <c r="AQ17" s="42"/>
      <c r="AR17" s="42"/>
      <c r="AS17" s="42"/>
      <c r="AT17" s="43"/>
      <c r="AU17" s="44"/>
      <c r="AV17" s="44"/>
      <c r="AW17" s="44"/>
      <c r="AY17" s="40"/>
      <c r="AZ17" s="41"/>
      <c r="BA17" s="41"/>
      <c r="BB17" s="41"/>
      <c r="BC17" s="42"/>
      <c r="BD17" s="42"/>
      <c r="BE17" s="42"/>
      <c r="BF17" s="43"/>
      <c r="BG17" s="44"/>
      <c r="BH17" s="44"/>
      <c r="BI17" s="44"/>
      <c r="BK17" s="40"/>
      <c r="BL17" s="41"/>
      <c r="BM17" s="41"/>
      <c r="BN17" s="41"/>
      <c r="BO17" s="42"/>
      <c r="BP17" s="42"/>
      <c r="BQ17" s="42"/>
      <c r="BR17" s="43"/>
      <c r="BS17" s="44"/>
      <c r="BT17" s="44"/>
      <c r="BU17" s="44"/>
      <c r="BW17" s="40"/>
      <c r="BX17" s="41"/>
      <c r="BY17" s="41"/>
      <c r="BZ17" s="41"/>
      <c r="CA17" s="42"/>
      <c r="CB17" s="42"/>
      <c r="CC17" s="42"/>
      <c r="CD17" s="43"/>
      <c r="CE17" s="44"/>
      <c r="CF17" s="44"/>
      <c r="CG17" s="44"/>
    </row>
    <row r="18" spans="3:85" x14ac:dyDescent="0.3">
      <c r="C18" s="40"/>
      <c r="D18" s="41"/>
      <c r="E18" s="41"/>
      <c r="F18" s="41"/>
      <c r="G18" s="42"/>
      <c r="H18" s="42"/>
      <c r="I18" s="42"/>
      <c r="J18" s="43"/>
      <c r="K18" s="44"/>
      <c r="L18" s="44"/>
      <c r="M18" s="44"/>
      <c r="O18" s="40"/>
      <c r="P18" s="41"/>
      <c r="Q18" s="41"/>
      <c r="R18" s="41"/>
      <c r="S18" s="42"/>
      <c r="T18" s="42"/>
      <c r="U18" s="42"/>
      <c r="V18" s="43"/>
      <c r="W18" s="44"/>
      <c r="X18" s="44"/>
      <c r="Y18" s="44"/>
      <c r="AA18" s="40"/>
      <c r="AB18" s="41"/>
      <c r="AC18" s="41"/>
      <c r="AD18" s="41"/>
      <c r="AE18" s="42"/>
      <c r="AF18" s="42"/>
      <c r="AG18" s="42"/>
      <c r="AH18" s="43"/>
      <c r="AI18" s="44"/>
      <c r="AJ18" s="44"/>
      <c r="AK18" s="44"/>
      <c r="AM18" s="40"/>
      <c r="AN18" s="41"/>
      <c r="AO18" s="41"/>
      <c r="AP18" s="41"/>
      <c r="AQ18" s="42"/>
      <c r="AR18" s="42"/>
      <c r="AS18" s="42"/>
      <c r="AT18" s="43"/>
      <c r="AU18" s="44"/>
      <c r="AV18" s="44"/>
      <c r="AW18" s="44"/>
      <c r="AY18" s="40"/>
      <c r="AZ18" s="41"/>
      <c r="BA18" s="41"/>
      <c r="BB18" s="41"/>
      <c r="BC18" s="42"/>
      <c r="BD18" s="42"/>
      <c r="BE18" s="42"/>
      <c r="BF18" s="43"/>
      <c r="BG18" s="44"/>
      <c r="BH18" s="44"/>
      <c r="BI18" s="44"/>
      <c r="BK18" s="40"/>
      <c r="BL18" s="41"/>
      <c r="BM18" s="41"/>
      <c r="BN18" s="41"/>
      <c r="BO18" s="42"/>
      <c r="BP18" s="42"/>
      <c r="BQ18" s="42"/>
      <c r="BR18" s="43"/>
      <c r="BS18" s="44"/>
      <c r="BT18" s="44"/>
      <c r="BU18" s="44"/>
      <c r="BW18" s="40"/>
      <c r="BX18" s="41"/>
      <c r="BY18" s="41"/>
      <c r="BZ18" s="41"/>
      <c r="CA18" s="42"/>
      <c r="CB18" s="42"/>
      <c r="CC18" s="42"/>
      <c r="CD18" s="43"/>
      <c r="CE18" s="44"/>
      <c r="CF18" s="44"/>
      <c r="CG18" s="44"/>
    </row>
    <row r="19" spans="3:85" x14ac:dyDescent="0.3">
      <c r="C19" s="40"/>
      <c r="D19" s="41"/>
      <c r="E19" s="41"/>
      <c r="F19" s="41"/>
      <c r="G19" s="42"/>
      <c r="H19" s="42"/>
      <c r="I19" s="42"/>
      <c r="J19" s="43"/>
      <c r="K19" s="44"/>
      <c r="L19" s="44"/>
      <c r="M19" s="44"/>
      <c r="O19" s="40"/>
      <c r="P19" s="41"/>
      <c r="Q19" s="41"/>
      <c r="R19" s="41"/>
      <c r="S19" s="42"/>
      <c r="T19" s="42"/>
      <c r="U19" s="42"/>
      <c r="V19" s="43"/>
      <c r="W19" s="44"/>
      <c r="X19" s="44"/>
      <c r="Y19" s="44"/>
      <c r="AA19" s="40"/>
      <c r="AB19" s="41"/>
      <c r="AC19" s="41"/>
      <c r="AD19" s="41"/>
      <c r="AE19" s="42"/>
      <c r="AF19" s="42"/>
      <c r="AG19" s="42"/>
      <c r="AH19" s="43"/>
      <c r="AI19" s="44"/>
      <c r="AJ19" s="44"/>
      <c r="AK19" s="44"/>
      <c r="AM19" s="40"/>
      <c r="AN19" s="41"/>
      <c r="AO19" s="41"/>
      <c r="AP19" s="41"/>
      <c r="AQ19" s="42" t="s">
        <v>13</v>
      </c>
      <c r="AR19" s="42"/>
      <c r="AS19" s="42"/>
      <c r="AT19" s="43"/>
      <c r="AU19" s="44"/>
      <c r="AV19" s="44"/>
      <c r="AW19" s="44"/>
      <c r="AY19" s="40"/>
      <c r="AZ19" s="41"/>
      <c r="BA19" s="41"/>
      <c r="BB19" s="41"/>
      <c r="BC19" s="42"/>
      <c r="BD19" s="42"/>
      <c r="BE19" s="42"/>
      <c r="BF19" s="43"/>
      <c r="BG19" s="44"/>
      <c r="BH19" s="44"/>
      <c r="BI19" s="44"/>
      <c r="BK19" s="40"/>
      <c r="BL19" s="41"/>
      <c r="BM19" s="41"/>
      <c r="BN19" s="41"/>
      <c r="BO19" s="42"/>
      <c r="BP19" s="42"/>
      <c r="BQ19" s="42"/>
      <c r="BR19" s="43"/>
      <c r="BS19" s="44"/>
      <c r="BT19" s="44"/>
      <c r="BU19" s="44"/>
      <c r="BW19" s="40"/>
      <c r="BX19" s="41"/>
      <c r="BY19" s="41"/>
      <c r="BZ19" s="41"/>
      <c r="CA19" s="42"/>
      <c r="CB19" s="42"/>
      <c r="CC19" s="42"/>
      <c r="CD19" s="43"/>
      <c r="CE19" s="44"/>
      <c r="CF19" s="44"/>
      <c r="CG19" s="44"/>
    </row>
    <row r="20" spans="3:85" x14ac:dyDescent="0.3">
      <c r="C20" s="40"/>
      <c r="D20" s="41"/>
      <c r="E20" s="41"/>
      <c r="F20" s="41"/>
      <c r="G20" s="42"/>
      <c r="H20" s="42"/>
      <c r="I20" s="42"/>
      <c r="J20" s="43"/>
      <c r="K20" s="44"/>
      <c r="L20" s="44"/>
      <c r="M20" s="44"/>
      <c r="O20" s="40"/>
      <c r="P20" s="41"/>
      <c r="Q20" s="41"/>
      <c r="R20" s="41"/>
      <c r="S20" s="42"/>
      <c r="T20" s="42"/>
      <c r="U20" s="42"/>
      <c r="V20" s="43"/>
      <c r="W20" s="44"/>
      <c r="X20" s="44"/>
      <c r="Y20" s="44"/>
      <c r="AA20" s="40"/>
      <c r="AB20" s="41"/>
      <c r="AC20" s="41"/>
      <c r="AD20" s="41"/>
      <c r="AE20" s="42"/>
      <c r="AF20" s="42"/>
      <c r="AG20" s="42"/>
      <c r="AH20" s="43"/>
      <c r="AI20" s="44"/>
      <c r="AJ20" s="44"/>
      <c r="AK20" s="44"/>
      <c r="AM20" s="40"/>
      <c r="AN20" s="41"/>
      <c r="AO20" s="41"/>
      <c r="AP20" s="41"/>
      <c r="AQ20" s="42"/>
      <c r="AR20" s="42"/>
      <c r="AS20" s="42"/>
      <c r="AT20" s="43"/>
      <c r="AU20" s="44"/>
      <c r="AV20" s="44"/>
      <c r="AW20" s="44"/>
      <c r="AY20" s="40"/>
      <c r="AZ20" s="41"/>
      <c r="BA20" s="41"/>
      <c r="BB20" s="41"/>
      <c r="BC20" s="42"/>
      <c r="BD20" s="42"/>
      <c r="BE20" s="42"/>
      <c r="BF20" s="43"/>
      <c r="BG20" s="44"/>
      <c r="BH20" s="44"/>
      <c r="BI20" s="44"/>
      <c r="BK20" s="40"/>
      <c r="BL20" s="41"/>
      <c r="BM20" s="41"/>
      <c r="BN20" s="41"/>
      <c r="BO20" s="42"/>
      <c r="BP20" s="42"/>
      <c r="BQ20" s="42"/>
      <c r="BR20" s="43"/>
      <c r="BS20" s="44"/>
      <c r="BT20" s="44"/>
      <c r="BU20" s="44"/>
      <c r="BW20" s="40"/>
      <c r="BX20" s="41"/>
      <c r="BY20" s="41"/>
      <c r="BZ20" s="41"/>
      <c r="CA20" s="42"/>
      <c r="CB20" s="42"/>
      <c r="CC20" s="42"/>
      <c r="CD20" s="43"/>
      <c r="CE20" s="44"/>
      <c r="CF20" s="44"/>
      <c r="CG20" s="44"/>
    </row>
    <row r="21" spans="3:85" x14ac:dyDescent="0.3">
      <c r="C21" s="40"/>
      <c r="D21" s="41"/>
      <c r="E21" s="41"/>
      <c r="F21" s="41"/>
      <c r="G21" s="42"/>
      <c r="H21" s="42"/>
      <c r="I21" s="42"/>
      <c r="J21" s="43"/>
      <c r="K21" s="44"/>
      <c r="L21" s="44"/>
      <c r="M21" s="44"/>
      <c r="O21" s="40"/>
      <c r="P21" s="41"/>
      <c r="Q21" s="41"/>
      <c r="R21" s="41"/>
      <c r="S21" s="42"/>
      <c r="T21" s="42"/>
      <c r="U21" s="42"/>
      <c r="V21" s="43"/>
      <c r="W21" s="44"/>
      <c r="X21" s="44"/>
      <c r="Y21" s="44"/>
      <c r="AA21" s="40"/>
      <c r="AB21" s="41"/>
      <c r="AC21" s="41"/>
      <c r="AD21" s="41"/>
      <c r="AE21" s="42"/>
      <c r="AF21" s="42"/>
      <c r="AG21" s="42"/>
      <c r="AH21" s="43"/>
      <c r="AI21" s="44"/>
      <c r="AJ21" s="44"/>
      <c r="AK21" s="44"/>
      <c r="AM21" s="40"/>
      <c r="AN21" s="41"/>
      <c r="AO21" s="41"/>
      <c r="AP21" s="41"/>
      <c r="AQ21" s="42"/>
      <c r="AR21" s="42"/>
      <c r="AS21" s="42"/>
      <c r="AT21" s="43"/>
      <c r="AU21" s="44"/>
      <c r="AV21" s="44"/>
      <c r="AW21" s="44"/>
      <c r="AY21" s="40"/>
      <c r="AZ21" s="41"/>
      <c r="BA21" s="41"/>
      <c r="BB21" s="41"/>
      <c r="BC21" s="42"/>
      <c r="BD21" s="42"/>
      <c r="BE21" s="42"/>
      <c r="BF21" s="43"/>
      <c r="BG21" s="44"/>
      <c r="BH21" s="44"/>
      <c r="BI21" s="44"/>
      <c r="BK21" s="40"/>
      <c r="BL21" s="41"/>
      <c r="BM21" s="41"/>
      <c r="BN21" s="41"/>
      <c r="BO21" s="42"/>
      <c r="BP21" s="42"/>
      <c r="BQ21" s="42"/>
      <c r="BR21" s="43"/>
      <c r="BS21" s="44"/>
      <c r="BT21" s="44"/>
      <c r="BU21" s="44"/>
      <c r="BW21" s="40"/>
      <c r="BX21" s="41"/>
      <c r="BY21" s="41"/>
      <c r="BZ21" s="41"/>
      <c r="CA21" s="42"/>
      <c r="CB21" s="42"/>
      <c r="CC21" s="42"/>
      <c r="CD21" s="43"/>
      <c r="CE21" s="44"/>
      <c r="CF21" s="44"/>
      <c r="CG21" s="44"/>
    </row>
    <row r="22" spans="3:85" x14ac:dyDescent="0.3">
      <c r="C22" s="40"/>
      <c r="D22" s="41"/>
      <c r="E22" s="41"/>
      <c r="F22" s="41"/>
      <c r="G22" s="42"/>
      <c r="H22" s="42"/>
      <c r="I22" s="42"/>
      <c r="J22" s="43"/>
      <c r="K22" s="44"/>
      <c r="L22" s="44"/>
      <c r="M22" s="44"/>
      <c r="O22" s="40"/>
      <c r="P22" s="41"/>
      <c r="Q22" s="41"/>
      <c r="R22" s="41"/>
      <c r="S22" s="42"/>
      <c r="T22" s="42"/>
      <c r="U22" s="42"/>
      <c r="V22" s="43"/>
      <c r="W22" s="44"/>
      <c r="X22" s="44"/>
      <c r="Y22" s="44"/>
      <c r="AA22" s="40"/>
      <c r="AB22" s="41"/>
      <c r="AC22" s="41"/>
      <c r="AD22" s="41"/>
      <c r="AE22" s="42"/>
      <c r="AF22" s="42"/>
      <c r="AG22" s="42"/>
      <c r="AH22" s="43"/>
      <c r="AI22" s="44"/>
      <c r="AJ22" s="44"/>
      <c r="AK22" s="44"/>
      <c r="AM22" s="40"/>
      <c r="AN22" s="41"/>
      <c r="AO22" s="41"/>
      <c r="AP22" s="41"/>
      <c r="AQ22" s="42"/>
      <c r="AR22" s="42"/>
      <c r="AS22" s="42"/>
      <c r="AT22" s="43"/>
      <c r="AU22" s="44"/>
      <c r="AV22" s="44"/>
      <c r="AW22" s="44"/>
      <c r="AY22" s="40"/>
      <c r="AZ22" s="41"/>
      <c r="BA22" s="41"/>
      <c r="BB22" s="41"/>
      <c r="BC22" s="42"/>
      <c r="BD22" s="42"/>
      <c r="BE22" s="42"/>
      <c r="BF22" s="43"/>
      <c r="BG22" s="44"/>
      <c r="BH22" s="44"/>
      <c r="BI22" s="44"/>
      <c r="BK22" s="40"/>
      <c r="BL22" s="41"/>
      <c r="BM22" s="41"/>
      <c r="BN22" s="41"/>
      <c r="BO22" s="42"/>
      <c r="BP22" s="42"/>
      <c r="BQ22" s="42"/>
      <c r="BR22" s="43"/>
      <c r="BS22" s="44"/>
      <c r="BT22" s="44"/>
      <c r="BU22" s="44"/>
      <c r="BW22" s="40"/>
      <c r="BX22" s="41"/>
      <c r="BY22" s="41"/>
      <c r="BZ22" s="41"/>
      <c r="CA22" s="42"/>
      <c r="CB22" s="42"/>
      <c r="CC22" s="42"/>
      <c r="CD22" s="43"/>
      <c r="CE22" s="44"/>
      <c r="CF22" s="44"/>
      <c r="CG22" s="44"/>
    </row>
    <row r="23" spans="3:85" x14ac:dyDescent="0.3">
      <c r="C23" s="40"/>
      <c r="D23" s="41"/>
      <c r="E23" s="41"/>
      <c r="F23" s="41"/>
      <c r="G23" s="42"/>
      <c r="H23" s="42"/>
      <c r="I23" s="42"/>
      <c r="J23" s="43"/>
      <c r="K23" s="44"/>
      <c r="L23" s="44"/>
      <c r="M23" s="44"/>
      <c r="O23" s="40"/>
      <c r="P23" s="41"/>
      <c r="Q23" s="41"/>
      <c r="R23" s="41"/>
      <c r="S23" s="42"/>
      <c r="T23" s="42"/>
      <c r="U23" s="42"/>
      <c r="V23" s="43"/>
      <c r="W23" s="44"/>
      <c r="X23" s="44"/>
      <c r="Y23" s="44"/>
      <c r="AA23" s="40"/>
      <c r="AB23" s="41"/>
      <c r="AC23" s="41"/>
      <c r="AD23" s="41"/>
      <c r="AE23" s="42"/>
      <c r="AF23" s="42"/>
      <c r="AG23" s="42"/>
      <c r="AH23" s="43"/>
      <c r="AI23" s="44"/>
      <c r="AJ23" s="44"/>
      <c r="AK23" s="44"/>
      <c r="AM23" s="40"/>
      <c r="AN23" s="41"/>
      <c r="AO23" s="41"/>
      <c r="AP23" s="41"/>
      <c r="AQ23" s="42"/>
      <c r="AR23" s="42"/>
      <c r="AS23" s="42"/>
      <c r="AT23" s="43"/>
      <c r="AU23" s="44"/>
      <c r="AV23" s="44"/>
      <c r="AW23" s="44"/>
      <c r="AY23" s="40"/>
      <c r="AZ23" s="41"/>
      <c r="BA23" s="41"/>
      <c r="BB23" s="41"/>
      <c r="BC23" s="42"/>
      <c r="BD23" s="42"/>
      <c r="BE23" s="42"/>
      <c r="BF23" s="43"/>
      <c r="BG23" s="44"/>
      <c r="BH23" s="44"/>
      <c r="BI23" s="44"/>
      <c r="BK23" s="40"/>
      <c r="BL23" s="41"/>
      <c r="BM23" s="41"/>
      <c r="BN23" s="41"/>
      <c r="BO23" s="42"/>
      <c r="BP23" s="42"/>
      <c r="BQ23" s="42"/>
      <c r="BR23" s="43"/>
      <c r="BS23" s="44"/>
      <c r="BT23" s="44"/>
      <c r="BU23" s="44"/>
      <c r="BW23" s="40"/>
      <c r="BX23" s="41"/>
      <c r="BY23" s="41"/>
      <c r="BZ23" s="41"/>
      <c r="CA23" s="42"/>
      <c r="CB23" s="42"/>
      <c r="CC23" s="42"/>
      <c r="CD23" s="43"/>
      <c r="CE23" s="44"/>
      <c r="CF23" s="44"/>
      <c r="CG23" s="44"/>
    </row>
    <row r="24" spans="3:85" x14ac:dyDescent="0.3">
      <c r="C24" s="40"/>
      <c r="D24" s="41"/>
      <c r="E24" s="41"/>
      <c r="F24" s="41"/>
      <c r="G24" s="42"/>
      <c r="H24" s="42"/>
      <c r="I24" s="42"/>
      <c r="J24" s="43"/>
      <c r="K24" s="44"/>
      <c r="L24" s="44"/>
      <c r="M24" s="44"/>
      <c r="O24" s="40"/>
      <c r="P24" s="41"/>
      <c r="Q24" s="41"/>
      <c r="R24" s="41"/>
      <c r="S24" s="42"/>
      <c r="T24" s="42"/>
      <c r="U24" s="42"/>
      <c r="V24" s="43"/>
      <c r="W24" s="44"/>
      <c r="X24" s="44"/>
      <c r="Y24" s="44"/>
      <c r="AA24" s="40"/>
      <c r="AB24" s="41"/>
      <c r="AC24" s="41"/>
      <c r="AD24" s="41"/>
      <c r="AE24" s="42"/>
      <c r="AF24" s="42"/>
      <c r="AG24" s="42"/>
      <c r="AH24" s="43"/>
      <c r="AI24" s="44"/>
      <c r="AJ24" s="44"/>
      <c r="AK24" s="44"/>
      <c r="AM24" s="40"/>
      <c r="AN24" s="41"/>
      <c r="AO24" s="41"/>
      <c r="AP24" s="41"/>
      <c r="AQ24" s="42"/>
      <c r="AR24" s="42"/>
      <c r="AS24" s="42"/>
      <c r="AT24" s="43"/>
      <c r="AU24" s="44"/>
      <c r="AV24" s="44"/>
      <c r="AW24" s="44"/>
      <c r="AY24" s="40"/>
      <c r="AZ24" s="41"/>
      <c r="BA24" s="41"/>
      <c r="BB24" s="41"/>
      <c r="BC24" s="42"/>
      <c r="BD24" s="42"/>
      <c r="BE24" s="42"/>
      <c r="BF24" s="43"/>
      <c r="BG24" s="44"/>
      <c r="BH24" s="44"/>
      <c r="BI24" s="44"/>
      <c r="BK24" s="40"/>
      <c r="BL24" s="41"/>
      <c r="BM24" s="41"/>
      <c r="BN24" s="41"/>
      <c r="BO24" s="42"/>
      <c r="BP24" s="42"/>
      <c r="BQ24" s="42"/>
      <c r="BR24" s="43"/>
      <c r="BS24" s="44"/>
      <c r="BT24" s="44"/>
      <c r="BU24" s="44"/>
      <c r="BW24" s="40"/>
      <c r="BX24" s="41"/>
      <c r="BY24" s="41"/>
      <c r="BZ24" s="41"/>
      <c r="CA24" s="42"/>
      <c r="CB24" s="42"/>
      <c r="CC24" s="42"/>
      <c r="CD24" s="43"/>
      <c r="CE24" s="44"/>
      <c r="CF24" s="44"/>
      <c r="CG24" s="44"/>
    </row>
  </sheetData>
  <mergeCells count="378">
    <mergeCell ref="AM23:AP23"/>
    <mergeCell ref="AQ23:AS23"/>
    <mergeCell ref="AT23:AW23"/>
    <mergeCell ref="AM24:AP24"/>
    <mergeCell ref="AQ24:AS24"/>
    <mergeCell ref="AT24:AW24"/>
    <mergeCell ref="AM21:AP21"/>
    <mergeCell ref="AQ21:AS21"/>
    <mergeCell ref="AT21:AW21"/>
    <mergeCell ref="AM22:AP22"/>
    <mergeCell ref="AQ22:AS22"/>
    <mergeCell ref="AT22:AW22"/>
    <mergeCell ref="AM19:AP19"/>
    <mergeCell ref="AQ19:AS19"/>
    <mergeCell ref="AT19:AW19"/>
    <mergeCell ref="AM20:AP20"/>
    <mergeCell ref="AQ20:AS20"/>
    <mergeCell ref="AT20:AW20"/>
    <mergeCell ref="AM17:AP17"/>
    <mergeCell ref="AQ17:AS17"/>
    <mergeCell ref="AT17:AW17"/>
    <mergeCell ref="AM18:AP18"/>
    <mergeCell ref="AQ18:AS18"/>
    <mergeCell ref="AT18:AW18"/>
    <mergeCell ref="AM15:AP15"/>
    <mergeCell ref="AQ15:AS15"/>
    <mergeCell ref="AT15:AW15"/>
    <mergeCell ref="AM16:AP16"/>
    <mergeCell ref="AQ16:AS16"/>
    <mergeCell ref="AT16:AW16"/>
    <mergeCell ref="AM13:AP13"/>
    <mergeCell ref="AQ13:AS13"/>
    <mergeCell ref="AT13:AW13"/>
    <mergeCell ref="AM14:AP14"/>
    <mergeCell ref="AQ14:AS14"/>
    <mergeCell ref="AT14:AW14"/>
    <mergeCell ref="AM11:AP11"/>
    <mergeCell ref="AQ11:AS11"/>
    <mergeCell ref="AT11:AW11"/>
    <mergeCell ref="AM12:AP12"/>
    <mergeCell ref="AQ12:AS12"/>
    <mergeCell ref="AT12:AW12"/>
    <mergeCell ref="AM8:AP9"/>
    <mergeCell ref="AQ8:AS9"/>
    <mergeCell ref="AT8:AW9"/>
    <mergeCell ref="AM10:AP10"/>
    <mergeCell ref="AQ10:AS10"/>
    <mergeCell ref="AT10:AW10"/>
    <mergeCell ref="AM2:AW3"/>
    <mergeCell ref="AM4:AW4"/>
    <mergeCell ref="AQ5:AS6"/>
    <mergeCell ref="AM7:AP7"/>
    <mergeCell ref="AQ7:AS7"/>
    <mergeCell ref="AT7:AW7"/>
    <mergeCell ref="AY23:BB23"/>
    <mergeCell ref="BC23:BE23"/>
    <mergeCell ref="BF23:BI23"/>
    <mergeCell ref="AY19:BB19"/>
    <mergeCell ref="BC19:BE19"/>
    <mergeCell ref="BF19:BI19"/>
    <mergeCell ref="AY20:BB20"/>
    <mergeCell ref="BC20:BE20"/>
    <mergeCell ref="BF20:BI20"/>
    <mergeCell ref="AY17:BB17"/>
    <mergeCell ref="BC17:BE17"/>
    <mergeCell ref="BF17:BI17"/>
    <mergeCell ref="AY18:BB18"/>
    <mergeCell ref="BC18:BE18"/>
    <mergeCell ref="BF18:BI18"/>
    <mergeCell ref="AY15:BB15"/>
    <mergeCell ref="BC15:BE15"/>
    <mergeCell ref="BF15:BI15"/>
    <mergeCell ref="AY24:BB24"/>
    <mergeCell ref="BC24:BE24"/>
    <mergeCell ref="BF24:BI24"/>
    <mergeCell ref="AY21:BB21"/>
    <mergeCell ref="BC21:BE21"/>
    <mergeCell ref="BF21:BI21"/>
    <mergeCell ref="AY22:BB22"/>
    <mergeCell ref="BC22:BE22"/>
    <mergeCell ref="BF22:BI22"/>
    <mergeCell ref="AY16:BB16"/>
    <mergeCell ref="BC16:BE16"/>
    <mergeCell ref="BF16:BI16"/>
    <mergeCell ref="AY13:BB13"/>
    <mergeCell ref="BC13:BE13"/>
    <mergeCell ref="BF13:BI13"/>
    <mergeCell ref="AY14:BB14"/>
    <mergeCell ref="BC14:BE14"/>
    <mergeCell ref="BF14:BI14"/>
    <mergeCell ref="AY11:BB11"/>
    <mergeCell ref="BC11:BE11"/>
    <mergeCell ref="BF11:BI11"/>
    <mergeCell ref="AY12:BB12"/>
    <mergeCell ref="BC12:BE12"/>
    <mergeCell ref="BF12:BI12"/>
    <mergeCell ref="AY8:BB9"/>
    <mergeCell ref="BC8:BE9"/>
    <mergeCell ref="BF8:BI9"/>
    <mergeCell ref="AY10:BB10"/>
    <mergeCell ref="BC10:BE10"/>
    <mergeCell ref="BF10:BI10"/>
    <mergeCell ref="AY2:BI3"/>
    <mergeCell ref="AY4:BI4"/>
    <mergeCell ref="BC5:BE6"/>
    <mergeCell ref="AY7:BB7"/>
    <mergeCell ref="BC7:BE7"/>
    <mergeCell ref="BF7:BI7"/>
    <mergeCell ref="BK23:BN23"/>
    <mergeCell ref="BO23:BQ23"/>
    <mergeCell ref="BR23:BU23"/>
    <mergeCell ref="BK19:BN19"/>
    <mergeCell ref="BO19:BQ19"/>
    <mergeCell ref="BR19:BU19"/>
    <mergeCell ref="BK20:BN20"/>
    <mergeCell ref="BO20:BQ20"/>
    <mergeCell ref="BR20:BU20"/>
    <mergeCell ref="BK17:BN17"/>
    <mergeCell ref="BO17:BQ17"/>
    <mergeCell ref="BR17:BU17"/>
    <mergeCell ref="BK18:BN18"/>
    <mergeCell ref="BO18:BQ18"/>
    <mergeCell ref="BR18:BU18"/>
    <mergeCell ref="BK15:BN15"/>
    <mergeCell ref="BO15:BQ15"/>
    <mergeCell ref="BR15:BU15"/>
    <mergeCell ref="BK24:BN24"/>
    <mergeCell ref="BO24:BQ24"/>
    <mergeCell ref="BR24:BU24"/>
    <mergeCell ref="BK21:BN21"/>
    <mergeCell ref="BO21:BQ21"/>
    <mergeCell ref="BR21:BU21"/>
    <mergeCell ref="BK22:BN22"/>
    <mergeCell ref="BO22:BQ22"/>
    <mergeCell ref="BR22:BU22"/>
    <mergeCell ref="BK16:BN16"/>
    <mergeCell ref="BO16:BQ16"/>
    <mergeCell ref="BR16:BU16"/>
    <mergeCell ref="BK13:BN13"/>
    <mergeCell ref="BO13:BQ13"/>
    <mergeCell ref="BR13:BU13"/>
    <mergeCell ref="BK14:BN14"/>
    <mergeCell ref="BO14:BQ14"/>
    <mergeCell ref="BR14:BU14"/>
    <mergeCell ref="BK11:BN11"/>
    <mergeCell ref="BO11:BQ11"/>
    <mergeCell ref="BR11:BU11"/>
    <mergeCell ref="BK12:BN12"/>
    <mergeCell ref="BO12:BQ12"/>
    <mergeCell ref="BR12:BU12"/>
    <mergeCell ref="BK8:BN9"/>
    <mergeCell ref="BO8:BQ9"/>
    <mergeCell ref="BR8:BU9"/>
    <mergeCell ref="BK10:BN10"/>
    <mergeCell ref="BO10:BQ10"/>
    <mergeCell ref="BR10:BU10"/>
    <mergeCell ref="BK2:BU3"/>
    <mergeCell ref="BK4:BU4"/>
    <mergeCell ref="BO5:BQ6"/>
    <mergeCell ref="BK7:BN7"/>
    <mergeCell ref="BO7:BQ7"/>
    <mergeCell ref="BR7:BU7"/>
    <mergeCell ref="CA5:CC6"/>
    <mergeCell ref="CA8:CC9"/>
    <mergeCell ref="CD8:CG9"/>
    <mergeCell ref="BW8:BZ9"/>
    <mergeCell ref="BW19:BZ19"/>
    <mergeCell ref="CA19:CC19"/>
    <mergeCell ref="CD19:CG19"/>
    <mergeCell ref="BW20:BZ20"/>
    <mergeCell ref="CA20:CC20"/>
    <mergeCell ref="CD20:CG20"/>
    <mergeCell ref="BW17:BZ17"/>
    <mergeCell ref="CA17:CC17"/>
    <mergeCell ref="CD17:CG17"/>
    <mergeCell ref="BW23:BZ23"/>
    <mergeCell ref="CA23:CC23"/>
    <mergeCell ref="CD23:CG23"/>
    <mergeCell ref="BW24:BZ24"/>
    <mergeCell ref="CA24:CC24"/>
    <mergeCell ref="CD24:CG24"/>
    <mergeCell ref="BW21:BZ21"/>
    <mergeCell ref="CA21:CC21"/>
    <mergeCell ref="CD21:CG21"/>
    <mergeCell ref="BW22:BZ22"/>
    <mergeCell ref="CA22:CC22"/>
    <mergeCell ref="CD22:CG22"/>
    <mergeCell ref="BW18:BZ18"/>
    <mergeCell ref="CA18:CC18"/>
    <mergeCell ref="CD18:CG18"/>
    <mergeCell ref="BW15:BZ15"/>
    <mergeCell ref="CA15:CC15"/>
    <mergeCell ref="CD15:CG15"/>
    <mergeCell ref="BW16:BZ16"/>
    <mergeCell ref="CA16:CC16"/>
    <mergeCell ref="CD16:CG16"/>
    <mergeCell ref="CD12:CG12"/>
    <mergeCell ref="BW13:BZ13"/>
    <mergeCell ref="CA13:CC13"/>
    <mergeCell ref="CD13:CG13"/>
    <mergeCell ref="BW14:BZ14"/>
    <mergeCell ref="CA14:CC14"/>
    <mergeCell ref="CD14:CG14"/>
    <mergeCell ref="BW2:CG3"/>
    <mergeCell ref="BW4:CG4"/>
    <mergeCell ref="BW7:BZ7"/>
    <mergeCell ref="CA7:CC7"/>
    <mergeCell ref="CD7:CG7"/>
    <mergeCell ref="BW10:BZ10"/>
    <mergeCell ref="CA10:CC10"/>
    <mergeCell ref="CD10:CG10"/>
    <mergeCell ref="BW12:BZ12"/>
    <mergeCell ref="CA12:CC12"/>
    <mergeCell ref="CA11:CC11"/>
    <mergeCell ref="BW11:BZ11"/>
    <mergeCell ref="CD11:CG11"/>
    <mergeCell ref="AA2:AK3"/>
    <mergeCell ref="AA4:AK4"/>
    <mergeCell ref="AE5:AG6"/>
    <mergeCell ref="AA7:AD7"/>
    <mergeCell ref="AE7:AG7"/>
    <mergeCell ref="AH7:AK7"/>
    <mergeCell ref="AA8:AD9"/>
    <mergeCell ref="AE8:AG9"/>
    <mergeCell ref="AH8:AK9"/>
    <mergeCell ref="AA10:AD10"/>
    <mergeCell ref="AE10:AG10"/>
    <mergeCell ref="AH10:AK10"/>
    <mergeCell ref="AA11:AD11"/>
    <mergeCell ref="AE11:AG11"/>
    <mergeCell ref="AH11:AK11"/>
    <mergeCell ref="AA12:AD12"/>
    <mergeCell ref="AE12:AG12"/>
    <mergeCell ref="AH12:AK12"/>
    <mergeCell ref="AA13:AD13"/>
    <mergeCell ref="AE13:AG13"/>
    <mergeCell ref="AH13:AK13"/>
    <mergeCell ref="AA14:AD14"/>
    <mergeCell ref="AE14:AG14"/>
    <mergeCell ref="AH14:AK14"/>
    <mergeCell ref="AA15:AD15"/>
    <mergeCell ref="AE15:AG15"/>
    <mergeCell ref="AH15:AK15"/>
    <mergeCell ref="AA16:AD16"/>
    <mergeCell ref="AE16:AG16"/>
    <mergeCell ref="AH16:AK16"/>
    <mergeCell ref="AA17:AD17"/>
    <mergeCell ref="AE17:AG17"/>
    <mergeCell ref="AH17:AK17"/>
    <mergeCell ref="AA18:AD18"/>
    <mergeCell ref="AE18:AG18"/>
    <mergeCell ref="AH18:AK18"/>
    <mergeCell ref="AA19:AD19"/>
    <mergeCell ref="AE19:AG19"/>
    <mergeCell ref="AH19:AK19"/>
    <mergeCell ref="AA20:AD20"/>
    <mergeCell ref="AE20:AG20"/>
    <mergeCell ref="AH20:AK20"/>
    <mergeCell ref="AA21:AD21"/>
    <mergeCell ref="AE21:AG21"/>
    <mergeCell ref="AH21:AK21"/>
    <mergeCell ref="AA22:AD22"/>
    <mergeCell ref="AE22:AG22"/>
    <mergeCell ref="AH22:AK22"/>
    <mergeCell ref="AA23:AD23"/>
    <mergeCell ref="AE23:AG23"/>
    <mergeCell ref="AH23:AK23"/>
    <mergeCell ref="AA24:AD24"/>
    <mergeCell ref="AE24:AG24"/>
    <mergeCell ref="AH24:AK24"/>
    <mergeCell ref="O2:Y3"/>
    <mergeCell ref="O4:Y4"/>
    <mergeCell ref="S5:U6"/>
    <mergeCell ref="O7:R7"/>
    <mergeCell ref="S7:U7"/>
    <mergeCell ref="V7:Y7"/>
    <mergeCell ref="O8:R9"/>
    <mergeCell ref="S8:U9"/>
    <mergeCell ref="V8:Y9"/>
    <mergeCell ref="O10:R10"/>
    <mergeCell ref="S10:U10"/>
    <mergeCell ref="V10:Y10"/>
    <mergeCell ref="O11:R11"/>
    <mergeCell ref="S11:U11"/>
    <mergeCell ref="V11:Y11"/>
    <mergeCell ref="O12:R12"/>
    <mergeCell ref="S12:U12"/>
    <mergeCell ref="V12:Y12"/>
    <mergeCell ref="O13:R13"/>
    <mergeCell ref="S13:U13"/>
    <mergeCell ref="V13:Y13"/>
    <mergeCell ref="O14:R14"/>
    <mergeCell ref="S14:U14"/>
    <mergeCell ref="V14:Y14"/>
    <mergeCell ref="O15:R15"/>
    <mergeCell ref="S15:U15"/>
    <mergeCell ref="V15:Y15"/>
    <mergeCell ref="O16:R16"/>
    <mergeCell ref="S16:U16"/>
    <mergeCell ref="V16:Y16"/>
    <mergeCell ref="O17:R17"/>
    <mergeCell ref="S17:U17"/>
    <mergeCell ref="V17:Y17"/>
    <mergeCell ref="O18:R18"/>
    <mergeCell ref="S18:U18"/>
    <mergeCell ref="V18:Y18"/>
    <mergeCell ref="O19:R19"/>
    <mergeCell ref="S19:U19"/>
    <mergeCell ref="V19:Y19"/>
    <mergeCell ref="O20:R20"/>
    <mergeCell ref="S20:U20"/>
    <mergeCell ref="V20:Y20"/>
    <mergeCell ref="O21:R21"/>
    <mergeCell ref="S21:U21"/>
    <mergeCell ref="V21:Y21"/>
    <mergeCell ref="O22:R22"/>
    <mergeCell ref="S22:U22"/>
    <mergeCell ref="V22:Y22"/>
    <mergeCell ref="O23:R23"/>
    <mergeCell ref="S23:U23"/>
    <mergeCell ref="V23:Y23"/>
    <mergeCell ref="O24:R24"/>
    <mergeCell ref="S24:U24"/>
    <mergeCell ref="V24:Y24"/>
    <mergeCell ref="C2:M3"/>
    <mergeCell ref="C4:M4"/>
    <mergeCell ref="G5:I6"/>
    <mergeCell ref="C7:F7"/>
    <mergeCell ref="G7:I7"/>
    <mergeCell ref="J7:M7"/>
    <mergeCell ref="C8:F9"/>
    <mergeCell ref="G8:I9"/>
    <mergeCell ref="J8:M9"/>
    <mergeCell ref="C10:F10"/>
    <mergeCell ref="G10:I10"/>
    <mergeCell ref="J10:M10"/>
    <mergeCell ref="C11:F11"/>
    <mergeCell ref="G11:I11"/>
    <mergeCell ref="J11:M11"/>
    <mergeCell ref="C12:F12"/>
    <mergeCell ref="G12:I12"/>
    <mergeCell ref="J12:M12"/>
    <mergeCell ref="C13:F13"/>
    <mergeCell ref="G13:I13"/>
    <mergeCell ref="J13:M13"/>
    <mergeCell ref="C14:F14"/>
    <mergeCell ref="G14:I14"/>
    <mergeCell ref="J14:M14"/>
    <mergeCell ref="C15:F15"/>
    <mergeCell ref="G15:I15"/>
    <mergeCell ref="J15:M15"/>
    <mergeCell ref="C16:F16"/>
    <mergeCell ref="G16:I16"/>
    <mergeCell ref="J16:M16"/>
    <mergeCell ref="C17:F17"/>
    <mergeCell ref="G17:I17"/>
    <mergeCell ref="J17:M17"/>
    <mergeCell ref="C18:F18"/>
    <mergeCell ref="G18:I18"/>
    <mergeCell ref="J18:M18"/>
    <mergeCell ref="C19:F19"/>
    <mergeCell ref="G19:I19"/>
    <mergeCell ref="J19:M19"/>
    <mergeCell ref="C20:F20"/>
    <mergeCell ref="G20:I20"/>
    <mergeCell ref="J20:M20"/>
    <mergeCell ref="C21:F21"/>
    <mergeCell ref="G21:I21"/>
    <mergeCell ref="J21:M21"/>
    <mergeCell ref="C22:F22"/>
    <mergeCell ref="G22:I22"/>
    <mergeCell ref="J22:M22"/>
    <mergeCell ref="C23:F23"/>
    <mergeCell ref="G23:I23"/>
    <mergeCell ref="J23:M23"/>
    <mergeCell ref="C24:F24"/>
    <mergeCell ref="G24:I24"/>
    <mergeCell ref="J24:M24"/>
  </mergeCells>
  <phoneticPr fontId="3" type="noConversion"/>
  <dataValidations count="2">
    <dataValidation type="list" allowBlank="1" showInputMessage="1" showErrorMessage="1" sqref="CA12:CC24 BO12:BQ24 BC12:BE24 AQ12:AS24 AE12:AG24 S12:U24 G12:I24" xr:uid="{4C447E51-BFBF-4A7A-9B57-5FD610FD3E18}">
      <formula1>CODIGOS</formula1>
    </dataValidation>
    <dataValidation type="list" allowBlank="1" showInputMessage="1" showErrorMessage="1" sqref="BW4:CG4 BK4:BU4 AY4:BI4 AM4:AW4 AA4:AK4 O4:Y4 C4:M4" xr:uid="{33F9895F-6B1C-4143-9AF3-9EE4C8F04774}">
      <formula1>Nombre_Empleado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A15:C28"/>
  <sheetViews>
    <sheetView workbookViewId="0">
      <selection activeCell="A18" sqref="A18:C18"/>
    </sheetView>
  </sheetViews>
  <sheetFormatPr baseColWidth="10" defaultRowHeight="14.4" x14ac:dyDescent="0.3"/>
  <sheetData>
    <row r="15" spans="1:3" x14ac:dyDescent="0.3">
      <c r="A15" s="72">
        <v>12</v>
      </c>
      <c r="B15" s="72"/>
      <c r="C15" s="72"/>
    </row>
    <row r="16" spans="1:3" x14ac:dyDescent="0.3">
      <c r="A16" s="72">
        <v>13</v>
      </c>
      <c r="B16" s="72"/>
      <c r="C16" s="72"/>
    </row>
    <row r="17" spans="1:3" x14ac:dyDescent="0.3">
      <c r="A17" s="72">
        <v>14</v>
      </c>
      <c r="B17" s="72"/>
      <c r="C17" s="72"/>
    </row>
    <row r="18" spans="1:3" x14ac:dyDescent="0.3">
      <c r="A18" s="72">
        <v>15</v>
      </c>
      <c r="B18" s="72"/>
      <c r="C18" s="72"/>
    </row>
    <row r="19" spans="1:3" x14ac:dyDescent="0.3">
      <c r="A19" s="72">
        <v>16</v>
      </c>
      <c r="B19" s="72"/>
      <c r="C19" s="72"/>
    </row>
    <row r="20" spans="1:3" x14ac:dyDescent="0.3">
      <c r="A20" s="72">
        <v>17</v>
      </c>
      <c r="B20" s="72"/>
      <c r="C20" s="72"/>
    </row>
    <row r="21" spans="1:3" x14ac:dyDescent="0.3">
      <c r="A21" s="72">
        <v>18</v>
      </c>
      <c r="B21" s="72"/>
      <c r="C21" s="72"/>
    </row>
    <row r="22" spans="1:3" x14ac:dyDescent="0.3">
      <c r="A22" s="72">
        <v>19</v>
      </c>
      <c r="B22" s="72"/>
      <c r="C22" s="72"/>
    </row>
    <row r="23" spans="1:3" x14ac:dyDescent="0.3">
      <c r="A23" s="72">
        <v>20</v>
      </c>
      <c r="B23" s="72"/>
      <c r="C23" s="72"/>
    </row>
    <row r="24" spans="1:3" x14ac:dyDescent="0.3">
      <c r="A24" s="72">
        <v>21</v>
      </c>
      <c r="B24" s="72"/>
      <c r="C24" s="72"/>
    </row>
    <row r="25" spans="1:3" x14ac:dyDescent="0.3">
      <c r="A25" s="72">
        <v>22</v>
      </c>
      <c r="B25" s="72"/>
      <c r="C25" s="72"/>
    </row>
    <row r="26" spans="1:3" x14ac:dyDescent="0.3">
      <c r="A26" s="72">
        <v>23</v>
      </c>
      <c r="B26" s="72"/>
      <c r="C26" s="72"/>
    </row>
    <row r="27" spans="1:3" x14ac:dyDescent="0.3">
      <c r="A27" s="72">
        <v>24</v>
      </c>
      <c r="B27" s="72"/>
      <c r="C27" s="72"/>
    </row>
    <row r="28" spans="1:3" x14ac:dyDescent="0.3">
      <c r="A28" s="72">
        <v>25</v>
      </c>
      <c r="B28" s="72"/>
      <c r="C28" s="72"/>
    </row>
  </sheetData>
  <mergeCells count="14">
    <mergeCell ref="A20:C20"/>
    <mergeCell ref="A15:C15"/>
    <mergeCell ref="A16:C16"/>
    <mergeCell ref="A17:C17"/>
    <mergeCell ref="A18:C18"/>
    <mergeCell ref="A19:C19"/>
    <mergeCell ref="A27:C27"/>
    <mergeCell ref="A28:C28"/>
    <mergeCell ref="A21:C21"/>
    <mergeCell ref="A22:C22"/>
    <mergeCell ref="A23:C23"/>
    <mergeCell ref="A24:C24"/>
    <mergeCell ref="A25:C25"/>
    <mergeCell ref="A26:C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C1D55-DB74-40D6-8CF7-21D5FD7E9D09}">
  <sheetPr codeName="Hoja4"/>
  <dimension ref="A1:C1"/>
  <sheetViews>
    <sheetView workbookViewId="0">
      <selection sqref="A1:C1"/>
    </sheetView>
  </sheetViews>
  <sheetFormatPr baseColWidth="10" defaultRowHeight="14.4" x14ac:dyDescent="0.3"/>
  <sheetData>
    <row r="1" spans="1:3" x14ac:dyDescent="0.3">
      <c r="A1" s="73">
        <f>SUM(FACTURAS!$JK$7,1)</f>
        <v>1</v>
      </c>
      <c r="B1" s="73"/>
      <c r="C1" s="73"/>
    </row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F23" sqref="F23"/>
    </sheetView>
  </sheetViews>
  <sheetFormatPr baseColWidth="10" defaultColWidth="11.44140625" defaultRowHeight="14.4" x14ac:dyDescent="0.3"/>
  <cols>
    <col min="2" max="2" width="16.109375" bestFit="1" customWidth="1"/>
    <col min="3" max="3" width="17.33203125" bestFit="1" customWidth="1"/>
    <col min="4" max="4" width="13.5546875" bestFit="1" customWidth="1"/>
    <col min="5" max="5" width="17.33203125" bestFit="1" customWidth="1"/>
  </cols>
  <sheetData>
    <row r="4" spans="2:5" x14ac:dyDescent="0.3">
      <c r="B4" s="4" t="s">
        <v>24</v>
      </c>
      <c r="C4" s="4" t="s">
        <v>25</v>
      </c>
      <c r="D4" s="4" t="s">
        <v>26</v>
      </c>
      <c r="E4" s="4" t="s">
        <v>27</v>
      </c>
    </row>
    <row r="5" spans="2:5" x14ac:dyDescent="0.3">
      <c r="B5" s="4" t="s">
        <v>28</v>
      </c>
      <c r="C5" s="10">
        <v>1025461380</v>
      </c>
      <c r="D5" s="4" t="s">
        <v>29</v>
      </c>
      <c r="E5" s="4" t="s">
        <v>30</v>
      </c>
    </row>
    <row r="6" spans="2:5" x14ac:dyDescent="0.3">
      <c r="B6" s="4" t="s">
        <v>31</v>
      </c>
      <c r="C6" s="10">
        <v>1098926370</v>
      </c>
      <c r="D6" s="4" t="s">
        <v>32</v>
      </c>
      <c r="E6" s="4" t="s">
        <v>33</v>
      </c>
    </row>
    <row r="7" spans="2:5" x14ac:dyDescent="0.3">
      <c r="B7" s="4" t="s">
        <v>34</v>
      </c>
      <c r="C7" s="10">
        <v>5227080</v>
      </c>
      <c r="D7" s="4" t="s">
        <v>35</v>
      </c>
      <c r="E7" s="4" t="s">
        <v>36</v>
      </c>
    </row>
    <row r="8" spans="2:5" x14ac:dyDescent="0.3">
      <c r="B8" s="4" t="s">
        <v>37</v>
      </c>
      <c r="C8" s="10">
        <v>8935048</v>
      </c>
      <c r="D8" s="4" t="s">
        <v>38</v>
      </c>
      <c r="E8" s="4" t="s">
        <v>39</v>
      </c>
    </row>
    <row r="9" spans="2:5" x14ac:dyDescent="0.3">
      <c r="B9" s="4" t="s">
        <v>40</v>
      </c>
      <c r="C9" s="10">
        <v>10093674</v>
      </c>
      <c r="D9" s="4" t="s">
        <v>41</v>
      </c>
      <c r="E9" s="4" t="s">
        <v>42</v>
      </c>
    </row>
    <row r="10" spans="2:5" x14ac:dyDescent="0.3">
      <c r="B10" s="4" t="s">
        <v>4</v>
      </c>
      <c r="C10" s="10">
        <v>1000554334</v>
      </c>
      <c r="D10" s="4" t="s">
        <v>43</v>
      </c>
      <c r="E10" s="4" t="s">
        <v>44</v>
      </c>
    </row>
  </sheetData>
  <pageMargins left="0.7" right="0.7" top="0.75" bottom="0.75" header="0.3" footer="0.3"/>
  <pageSetup paperSize="9" fitToWidth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4140625" defaultRowHeight="14.4" x14ac:dyDescent="0.3"/>
  <cols>
    <col min="3" max="3" width="37.5546875" bestFit="1" customWidth="1"/>
    <col min="5" max="5" width="14.5546875" bestFit="1" customWidth="1"/>
  </cols>
  <sheetData>
    <row r="4" spans="2:5" x14ac:dyDescent="0.3">
      <c r="B4" s="4" t="s">
        <v>8</v>
      </c>
      <c r="C4" s="7" t="s">
        <v>45</v>
      </c>
      <c r="D4" s="4" t="s">
        <v>11</v>
      </c>
      <c r="E4" s="7" t="s">
        <v>12</v>
      </c>
    </row>
    <row r="5" spans="2:5" x14ac:dyDescent="0.3">
      <c r="B5" s="4" t="s">
        <v>46</v>
      </c>
      <c r="C5" s="4" t="s">
        <v>47</v>
      </c>
      <c r="D5" s="6">
        <v>0.05</v>
      </c>
      <c r="E5" s="8">
        <v>180000</v>
      </c>
    </row>
    <row r="6" spans="2:5" x14ac:dyDescent="0.3">
      <c r="B6" s="4" t="s">
        <v>17</v>
      </c>
      <c r="C6" s="4" t="s">
        <v>48</v>
      </c>
      <c r="D6" s="6">
        <v>0.08</v>
      </c>
      <c r="E6" s="8">
        <v>470000</v>
      </c>
    </row>
    <row r="7" spans="2:5" x14ac:dyDescent="0.3">
      <c r="B7" s="4" t="s">
        <v>13</v>
      </c>
      <c r="C7" s="4" t="s">
        <v>49</v>
      </c>
      <c r="D7" s="6">
        <v>0.1</v>
      </c>
      <c r="E7" s="8">
        <v>250000</v>
      </c>
    </row>
    <row r="8" spans="2:5" x14ac:dyDescent="0.3">
      <c r="B8" s="4" t="s">
        <v>15</v>
      </c>
      <c r="C8" s="4" t="s">
        <v>50</v>
      </c>
      <c r="D8" s="6">
        <v>0.15</v>
      </c>
      <c r="E8" s="8">
        <v>130000</v>
      </c>
    </row>
    <row r="9" spans="2:5" x14ac:dyDescent="0.3">
      <c r="B9" s="4" t="s">
        <v>18</v>
      </c>
      <c r="C9" s="4" t="s">
        <v>51</v>
      </c>
      <c r="D9" s="6">
        <v>0.04</v>
      </c>
      <c r="E9" s="8">
        <v>240000</v>
      </c>
    </row>
    <row r="10" spans="2:5" x14ac:dyDescent="0.3">
      <c r="B10" s="4" t="s">
        <v>19</v>
      </c>
      <c r="C10" s="4" t="s">
        <v>52</v>
      </c>
      <c r="D10" s="6">
        <v>0.16</v>
      </c>
      <c r="E10" s="8">
        <v>2000000</v>
      </c>
    </row>
    <row r="11" spans="2:5" x14ac:dyDescent="0.3">
      <c r="B11" s="4" t="s">
        <v>53</v>
      </c>
      <c r="C11" s="4" t="s">
        <v>54</v>
      </c>
      <c r="D11" s="6">
        <v>0.02</v>
      </c>
      <c r="E11" s="8">
        <v>2500000</v>
      </c>
    </row>
    <row r="12" spans="2:5" x14ac:dyDescent="0.3">
      <c r="B12" s="4" t="s">
        <v>55</v>
      </c>
      <c r="C12" s="4" t="s">
        <v>56</v>
      </c>
      <c r="D12" s="6">
        <v>0.04</v>
      </c>
      <c r="E12" s="8">
        <v>180007</v>
      </c>
    </row>
    <row r="13" spans="2:5" x14ac:dyDescent="0.3">
      <c r="B13" s="4" t="s">
        <v>57</v>
      </c>
      <c r="C13" s="4" t="s">
        <v>58</v>
      </c>
      <c r="D13" s="6">
        <v>0.08</v>
      </c>
      <c r="E13" s="8">
        <v>400000</v>
      </c>
    </row>
    <row r="14" spans="2:5" x14ac:dyDescent="0.3">
      <c r="B14" s="4" t="s">
        <v>14</v>
      </c>
      <c r="C14" s="4" t="s">
        <v>59</v>
      </c>
      <c r="D14" s="6">
        <v>0.04</v>
      </c>
      <c r="E14" s="8">
        <v>120000</v>
      </c>
    </row>
    <row r="15" spans="2:5" x14ac:dyDescent="0.3">
      <c r="B15" s="4" t="s">
        <v>20</v>
      </c>
      <c r="C15" s="4" t="s">
        <v>60</v>
      </c>
      <c r="D15" s="6">
        <v>0.11</v>
      </c>
      <c r="E15" s="8">
        <v>200000</v>
      </c>
    </row>
    <row r="16" spans="2:5" x14ac:dyDescent="0.3">
      <c r="B16" s="4" t="s">
        <v>61</v>
      </c>
      <c r="C16" s="4" t="s">
        <v>62</v>
      </c>
      <c r="D16" s="6">
        <v>0.12</v>
      </c>
      <c r="E16" s="8">
        <v>500000</v>
      </c>
    </row>
    <row r="17" spans="2:9" x14ac:dyDescent="0.3">
      <c r="B17" s="4" t="s">
        <v>16</v>
      </c>
      <c r="C17" s="4" t="s">
        <v>63</v>
      </c>
      <c r="D17" s="6">
        <v>0.13</v>
      </c>
      <c r="E17" s="8">
        <v>350000</v>
      </c>
    </row>
    <row r="18" spans="2:9" x14ac:dyDescent="0.3">
      <c r="C18" s="5"/>
    </row>
    <row r="22" spans="2:9" x14ac:dyDescent="0.3">
      <c r="I22" t="s">
        <v>64</v>
      </c>
    </row>
  </sheetData>
  <phoneticPr fontId="3" type="noConversion"/>
  <pageMargins left="0.7" right="0.7" top="0.75" bottom="0.75" header="0.3" footer="0.3"/>
  <pageSetup paperSize="9" fitToWidth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10</vt:i4>
      </vt:variant>
    </vt:vector>
  </HeadingPairs>
  <TitlesOfParts>
    <vt:vector size="16" baseType="lpstr">
      <vt:lpstr>BUSQUEDA</vt:lpstr>
      <vt:lpstr>FACTURAS</vt:lpstr>
      <vt:lpstr>Hoja1</vt:lpstr>
      <vt:lpstr>MEMORIA</vt:lpstr>
      <vt:lpstr>EMPLEADOS</vt:lpstr>
      <vt:lpstr>PRODUCTOS</vt:lpstr>
      <vt:lpstr>FACTURAS!Área_de_extracción</vt:lpstr>
      <vt:lpstr>CODIGOS</vt:lpstr>
      <vt:lpstr>FACTURAS!Criterios</vt:lpstr>
      <vt:lpstr>Empleados</vt:lpstr>
      <vt:lpstr>LISTA</vt:lpstr>
      <vt:lpstr>Nombre_Empleado</vt:lpstr>
      <vt:lpstr>Nro_Factura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2022-08-07T15:15:21Z</dcterms:modified>
  <cp:category/>
  <cp:contentStatus/>
</cp:coreProperties>
</file>
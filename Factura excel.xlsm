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79" documentId="13_ncr:1_{C374DD79-F7C2-4689-94F5-64120680C989}" xr6:coauthVersionLast="47" xr6:coauthVersionMax="47" xr10:uidLastSave="{54B88E48-5A15-4505-B130-A06B1F74307C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state="hidden" r:id="rId3"/>
    <sheet name="EMPLEADOS" sheetId="4" state="hidden" r:id="rId4"/>
    <sheet name="PRODUCTOS" sheetId="3" state="hidden" r:id="rId5"/>
  </sheets>
  <definedNames>
    <definedName name="_xlnm._FilterDatabase" localSheetId="1" hidden="1">BUSQUEDA!$D$15:$T$27</definedName>
    <definedName name="_xlnm._FilterDatabase" localSheetId="2" hidden="1">FACTURAS!$E$3:$E$24</definedName>
    <definedName name="_xlnm._FilterDatabase" localSheetId="0" hidden="1">NUEVA!$D$15:$T$27</definedName>
    <definedName name="CODIGOS">PRODUCTOS!$B$5:$B$17</definedName>
    <definedName name="CodProduct">FACTURAS!$E$3:$E$24</definedName>
    <definedName name="Empleados">EMPLEADOS!$B$5:$E$10</definedName>
    <definedName name="LISTA">PRODUCTOS!$B$5:$E$17</definedName>
    <definedName name="Nombre_Empleado">EMPLEADOS!$B$5:$B$10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22" i="2" l="1"/>
  <c r="AD22" i="2" s="1"/>
  <c r="D20" i="2"/>
  <c r="D21" i="2"/>
  <c r="A27" i="10"/>
  <c r="U27" i="10" s="1"/>
  <c r="A26" i="10"/>
  <c r="U26" i="10" s="1"/>
  <c r="A25" i="10"/>
  <c r="U25" i="10" s="1"/>
  <c r="A24" i="10"/>
  <c r="U24" i="10" s="1"/>
  <c r="A23" i="10"/>
  <c r="U23" i="10" s="1"/>
  <c r="A22" i="10"/>
  <c r="U22" i="10" s="1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2" i="2"/>
  <c r="D23" i="2"/>
  <c r="D24" i="2"/>
  <c r="D25" i="2"/>
  <c r="D26" i="2"/>
  <c r="D15" i="2"/>
  <c r="AK2" i="10"/>
  <c r="AK2" i="2"/>
  <c r="D25" i="10" l="1"/>
  <c r="U17" i="10"/>
  <c r="X17" i="10" s="1"/>
  <c r="AD17" i="10" s="1"/>
  <c r="U21" i="10"/>
  <c r="X21" i="10" s="1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<sst xmlns="http://schemas.openxmlformats.org/spreadsheetml/2006/main" count="193" uniqueCount="100">
  <si>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</si>
  <si>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</si>
  <si>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</si>
  <si>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</si>
  <si>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</si>
  <si>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</si>
  <si>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</si>
  <si>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</si>
  <si>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</si>
  <si>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</si>
  <si>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</si>
  <si>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</si>
  <si>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</si>
  <si>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</si>
  <si>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</si>
  <si>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</si>
  <si>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</si>
  <si>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</si>
  <si>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</si>
  <si>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</si>
  <si>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</si>
  <si>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</si>
  <si>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</si>
  <si>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</si>
  <si>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</si>
  <si>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</si>
  <si>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</si>
  <si>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</si>
  <si>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</si>
  <si>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</si>
  <si>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</si>
  <si>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</si>
  <si>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</si>
  <si>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</si>
  <si>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</si>
  <si>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</si>
  <si>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</si>
  <si>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</si>
  <si>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</si>
  <si>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</si>
  <si>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</si>
  <si>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</si>
  <si>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</si>
  <si>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</si>
  <si>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</si>
  <si>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</si>
  <si>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</si>
  <si>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</si>
  <si>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</si>
  <si>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</si>
  <si>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</si>
  <si>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</si>
  <si>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</si>
  <si>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</si>
  <si>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</si>
  <si>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</si>
  <si>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</si>
  <si>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</si>
  <si>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</si>
  <si>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</si>
  <si>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</si>
  <si>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</si>
  <si>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</si>
  <si>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</si>
  <si>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</si>
  <si>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</si>
  <si>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</si>
  <si>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</si>
  <si>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</si>
  <si>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</si>
  <si>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</si>
  <si>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</si>
  <si>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</si>
  <si>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</si>
  <si>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</si>
  <si>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</si>
  <si>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</si>
  <si>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</si>
  <si>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</si>
  <si>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</si>
  <si>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</si>
  <si>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</si>
  <si>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</si>
  <si>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</si>
  <si>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</si>
  <si>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</si>
  <si>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</si>
  <si>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</si>
  <si>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</si>
  <si>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</si>
  <si>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</si>
  <si>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</si>
  <si>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</si>
  <si>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</si>
  <si>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</si>
  <si>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</si>
  <si>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</si>
  <si>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</si>
  <si>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</si>
  <si>
    <t>14/08/2022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</si>
</sst>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49" fontId="0" fillId="0" borderId="7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3CB877"/>
      <color rgb="FF47917F"/>
      <color rgb="FF43B148"/>
      <color rgb="FF34E66F"/>
      <color rgb="FFCC0000"/>
      <color rgb="FF800000"/>
      <color rgb="FFEE3030"/>
      <color rgb="FFFFD5D5"/>
      <color rgb="FFFF7171"/>
      <color rgb="FFFF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201706</xdr:colOff>
      <xdr:row>33</xdr:row>
      <xdr:rowOff>39464</xdr:rowOff>
    </xdr:from>
    <xdr:to>
      <xdr:col>5</xdr:col>
      <xdr:colOff>314471</xdr:colOff>
      <xdr:row>35</xdr:row>
      <xdr:rowOff>107673</xdr:rowOff>
    </xdr:to>
    <xdr:sp macro="[0]!Button_sav_edit" textlink="">
      <xdr:nvSpPr>
        <xdr:cNvPr id="8" name="Rectángulo: esquinas redondeadas 7" hidden="1">
          <a:extLst>
            <a:ext uri="{FF2B5EF4-FFF2-40B4-BE49-F238E27FC236}">
              <a16:creationId xmlns:a16="http://schemas.microsoft.com/office/drawing/2014/main" id="{68AB038E-6B99-4560-A798-D85B11927D0E}"/>
            </a:ext>
          </a:extLst>
        </xdr:cNvPr>
        <xdr:cNvSpPr/>
      </xdr:nvSpPr>
      <xdr:spPr>
        <a:xfrm>
          <a:off x="499880" y="6301116"/>
          <a:ext cx="1206069" cy="449209"/>
        </a:xfrm>
        <a:prstGeom prst="roundRect">
          <a:avLst/>
        </a:prstGeom>
        <a:gradFill>
          <a:gsLst>
            <a:gs pos="0">
              <a:srgbClr val="34E66F"/>
            </a:gs>
            <a:gs pos="50000">
              <a:srgbClr val="3CB877"/>
            </a:gs>
            <a:gs pos="100000">
              <a:srgbClr val="47917F"/>
            </a:gs>
          </a:gsLst>
        </a:gra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GUARDAR</a:t>
          </a:r>
        </a:p>
      </xdr:txBody>
    </xdr:sp>
    <xdr:clientData/>
  </xdr:twoCellAnchor>
  <xdr:twoCellAnchor>
    <xdr:from>
      <xdr:col>6</xdr:col>
      <xdr:colOff>29702</xdr:colOff>
      <xdr:row>33</xdr:row>
      <xdr:rowOff>57977</xdr:rowOff>
    </xdr:from>
    <xdr:to>
      <xdr:col>10</xdr:col>
      <xdr:colOff>190578</xdr:colOff>
      <xdr:row>35</xdr:row>
      <xdr:rowOff>151086</xdr:rowOff>
    </xdr:to>
    <xdr:sp macro="[0]!Button_cancel_edit" textlink="">
      <xdr:nvSpPr>
        <xdr:cNvPr id="9" name="Rectángulo: esquinas redondeadas 8" hidden="1">
          <a:extLst>
            <a:ext uri="{FF2B5EF4-FFF2-40B4-BE49-F238E27FC236}">
              <a16:creationId xmlns:a16="http://schemas.microsoft.com/office/drawing/2014/main" id="{B128E3B4-4942-4915-A3A0-196CA507B850}"/>
            </a:ext>
          </a:extLst>
        </xdr:cNvPr>
        <xdr:cNvSpPr/>
      </xdr:nvSpPr>
      <xdr:spPr>
        <a:xfrm>
          <a:off x="2092357" y="6311632"/>
          <a:ext cx="1172497" cy="474109"/>
        </a:xfrm>
        <a:prstGeom prst="roundRect">
          <a:avLst/>
        </a:prstGeom>
        <a:gradFill>
          <a:gsLst>
            <a:gs pos="0">
              <a:srgbClr val="FF0000"/>
            </a:gs>
            <a:gs pos="50000">
              <a:srgbClr val="EE3030"/>
            </a:gs>
            <a:gs pos="100000">
              <a:srgbClr val="CC0000"/>
            </a:gs>
          </a:gsLst>
        </a:gra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16</xdr:col>
      <xdr:colOff>14723</xdr:colOff>
      <xdr:row>33</xdr:row>
      <xdr:rowOff>66675</xdr:rowOff>
    </xdr:from>
    <xdr:to>
      <xdr:col>20</xdr:col>
      <xdr:colOff>105643</xdr:colOff>
      <xdr:row>35</xdr:row>
      <xdr:rowOff>109971</xdr:rowOff>
    </xdr:to>
    <xdr:sp macro="[0]!Button_edi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64C8873-A81E-4598-B05B-E964584B6339}"/>
            </a:ext>
          </a:extLst>
        </xdr:cNvPr>
        <xdr:cNvSpPr/>
      </xdr:nvSpPr>
      <xdr:spPr>
        <a:xfrm>
          <a:off x="3560621" y="6322868"/>
          <a:ext cx="1164647" cy="424296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24" totalsRowShown="0" headerRowDxfId="47" dataDxfId="46" tableBorderDxfId="45">
  <autoFilter ref="E2:AG24" xr:uid="{0CD457BA-9725-4E16-BBBC-4B55AB6B05BA}"/>
  <sortState xmlns:xlrd2="http://schemas.microsoft.com/office/spreadsheetml/2017/richdata2" ref="E3:AG24">
    <sortCondition descending="1" ref="E2:E24"/>
  </sortState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8"/>
  <sheetViews>
    <sheetView showGridLines="0" tabSelected="1" zoomScaleNormal="100" workbookViewId="0">
      <selection activeCell="X36" sqref="X36:AA37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5"/>
      <c r="B1" s="39"/>
      <c r="C1" s="39"/>
      <c r="D1" s="39"/>
      <c r="E1" s="3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9" t="s">
        <v>0</v>
      </c>
      <c r="AL1" s="39"/>
      <c r="AM1" s="39"/>
      <c r="AN1" s="10"/>
    </row>
    <row r="2" spans="1:42" x14ac:dyDescent="0.25">
      <c r="A2" s="46"/>
      <c r="B2" s="36"/>
      <c r="C2" s="36"/>
      <c r="D2" s="36"/>
      <c r="E2" s="36"/>
      <c r="AK2" s="48">
        <f ca="1">TODAY()</f>
        <v>44787</v>
      </c>
      <c r="AL2" s="48"/>
      <c r="AM2" s="48"/>
      <c r="AN2" s="9"/>
    </row>
    <row r="3" spans="1:42" x14ac:dyDescent="0.25">
      <c r="A3" s="46"/>
      <c r="B3" s="36"/>
      <c r="C3" s="36"/>
      <c r="D3" s="36"/>
      <c r="E3" s="36"/>
      <c r="O3" s="35" t="s">
        <v>1</v>
      </c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N3" s="3"/>
    </row>
    <row r="4" spans="1:42" x14ac:dyDescent="0.25">
      <c r="A4" s="46"/>
      <c r="B4" s="36"/>
      <c r="C4" s="36"/>
      <c r="D4" s="36"/>
      <c r="E4" s="36"/>
      <c r="AK4" s="36" t="s">
        <v>2</v>
      </c>
      <c r="AL4" s="36"/>
      <c r="AM4" s="36"/>
      <c r="AN4" s="3"/>
    </row>
    <row r="5" spans="1:42" ht="15" customHeight="1" x14ac:dyDescent="0.25">
      <c r="A5" s="46"/>
      <c r="B5" s="36"/>
      <c r="C5" s="36"/>
      <c r="D5" s="36"/>
      <c r="E5" s="36"/>
      <c r="O5" s="36" t="s">
        <v>3</v>
      </c>
      <c r="P5" s="36"/>
      <c r="Q5" s="36"/>
      <c r="R5" s="36"/>
      <c r="S5" s="36"/>
      <c r="T5" s="36"/>
      <c r="U5" s="36"/>
      <c r="V5" s="36"/>
      <c r="W5" s="36"/>
      <c r="X5" s="36"/>
      <c r="Y5" s="36"/>
      <c r="AJ5" t="s">
        <v>4</v>
      </c>
      <c r="AK5" s="49">
        <v>22</v>
      </c>
      <c r="AL5" s="49"/>
      <c r="AM5" s="49"/>
      <c r="AN5" s="3"/>
    </row>
    <row r="6" spans="1:42" x14ac:dyDescent="0.25">
      <c r="A6" s="46"/>
      <c r="B6" s="36"/>
      <c r="C6" s="36"/>
      <c r="D6" s="36"/>
      <c r="E6" s="36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7" t="s">
        <v>5</v>
      </c>
      <c r="G9" s="37"/>
      <c r="H9" s="37"/>
      <c r="I9" s="37"/>
      <c r="J9" s="37"/>
      <c r="K9" s="37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N9" s="3"/>
    </row>
    <row r="10" spans="1:42" ht="15.75" thickBot="1" x14ac:dyDescent="0.3">
      <c r="A10" s="2"/>
      <c r="F10" s="37" t="s">
        <v>6</v>
      </c>
      <c r="G10" s="37"/>
      <c r="H10" s="37"/>
      <c r="I10" s="37"/>
      <c r="J10" s="37"/>
      <c r="K10" s="37"/>
      <c r="P10" s="39" t="str">
        <f>IF(P9="","",VLOOKUP(P9,M_Empleados[],2,FALSE))</f>
        <v/>
      </c>
      <c r="Q10" s="39"/>
      <c r="R10" s="39"/>
      <c r="S10" s="39"/>
      <c r="T10" s="39"/>
      <c r="U10" s="39"/>
      <c r="V10" s="39"/>
      <c r="W10" s="39"/>
      <c r="X10" s="39"/>
      <c r="Y10" s="39"/>
      <c r="Z10" s="39"/>
      <c r="AN10" s="3"/>
      <c r="AO10" t="s">
        <v>7</v>
      </c>
    </row>
    <row r="11" spans="1:42" ht="15.75" thickBot="1" x14ac:dyDescent="0.3">
      <c r="A11" s="2"/>
      <c r="F11" s="37" t="s">
        <v>8</v>
      </c>
      <c r="G11" s="37"/>
      <c r="H11" s="37"/>
      <c r="I11" s="37"/>
      <c r="J11" s="37"/>
      <c r="K11" s="37"/>
      <c r="P11" s="39" t="str">
        <f>IF(P10="","",VLOOKUP(P9,M_Empleados[],3,FALSE))</f>
        <v/>
      </c>
      <c r="Q11" s="39"/>
      <c r="R11" s="39"/>
      <c r="S11" s="39"/>
      <c r="T11" s="39"/>
      <c r="U11" s="39"/>
      <c r="V11" s="39"/>
      <c r="W11" s="39"/>
      <c r="X11" s="39"/>
      <c r="Y11" s="39"/>
      <c r="Z11" s="39"/>
      <c r="AN11" s="3"/>
    </row>
    <row r="12" spans="1:42" ht="15.75" thickBot="1" x14ac:dyDescent="0.3">
      <c r="A12" s="2"/>
      <c r="F12" s="37" t="s">
        <v>9</v>
      </c>
      <c r="G12" s="37"/>
      <c r="H12" s="37"/>
      <c r="I12" s="7"/>
      <c r="J12" s="7"/>
      <c r="K12" s="7"/>
      <c r="P12" s="47" t="str">
        <f>IF(P11="","",VLOOKUP(P9,M_Empleados[],4,FALSE))</f>
        <v/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N12" s="3"/>
    </row>
    <row r="13" spans="1:42" x14ac:dyDescent="0.25">
      <c r="A13" s="2"/>
      <c r="AN13" s="3"/>
    </row>
    <row r="14" spans="1:42" x14ac:dyDescent="0.25">
      <c r="A14" s="34" t="s">
        <v>10</v>
      </c>
      <c r="B14" s="34"/>
      <c r="C14" s="34"/>
      <c r="D14" s="34" t="s">
        <v>11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 t="s">
        <v>12</v>
      </c>
      <c r="V14" s="34"/>
      <c r="W14" s="34"/>
      <c r="X14" s="34" t="s">
        <v>13</v>
      </c>
      <c r="Y14" s="34"/>
      <c r="Z14" s="34"/>
      <c r="AA14" s="34"/>
      <c r="AB14" s="34"/>
      <c r="AC14" s="34"/>
      <c r="AD14" s="34" t="s">
        <v>14</v>
      </c>
      <c r="AE14" s="34"/>
      <c r="AF14" s="34"/>
      <c r="AG14" s="34"/>
      <c r="AH14" s="34"/>
      <c r="AI14" s="34"/>
      <c r="AJ14" s="34"/>
      <c r="AK14" s="34"/>
      <c r="AL14" s="34"/>
      <c r="AM14" s="34"/>
      <c r="AN14" s="34"/>
    </row>
    <row r="15" spans="1:42" x14ac:dyDescent="0.25">
      <c r="A15" s="32"/>
      <c r="B15" s="32"/>
      <c r="C15" s="32"/>
      <c r="D15" s="43" t="str">
        <f>IF(A15="","",(VLOOKUP(A15,M_Productos[],2,FALSE)))</f>
        <v/>
      </c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0"/>
      <c r="V15" s="41"/>
      <c r="W15" s="42"/>
      <c r="X15" s="44" t="str">
        <f>IF(A15="","",(VLOOKUP(A15,M_Productos[],4,FALSE)*VLOOKUP($A15,M_Productos[],3,FALSE)*U15))</f>
        <v/>
      </c>
      <c r="Y15" s="44"/>
      <c r="Z15" s="44"/>
      <c r="AA15" s="44"/>
      <c r="AB15" s="44"/>
      <c r="AC15" s="44"/>
      <c r="AD15" s="44" t="str">
        <f>IF(A15="","",((VLOOKUP(A15,M_Productos[],4,FALSE) + X15)*U15))</f>
        <v/>
      </c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P15" s="11"/>
    </row>
    <row r="16" spans="1:42" x14ac:dyDescent="0.25">
      <c r="A16" s="32"/>
      <c r="B16" s="32"/>
      <c r="C16" s="32"/>
      <c r="D16" s="43" t="str">
        <f>IF(A16="","",(VLOOKUP(A16,M_Productos[],2,FALSE)))</f>
        <v/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0"/>
      <c r="V16" s="41"/>
      <c r="W16" s="42"/>
      <c r="X16" s="44" t="str">
        <f>IF(A16="","",(VLOOKUP(A16,M_Productos[],4,FALSE)*VLOOKUP($A16,M_Productos[],3,FALSE)*U16))</f>
        <v/>
      </c>
      <c r="Y16" s="44"/>
      <c r="Z16" s="44"/>
      <c r="AA16" s="44"/>
      <c r="AB16" s="44"/>
      <c r="AC16" s="44"/>
      <c r="AD16" s="44" t="str">
        <f>IF(A16="","",((VLOOKUP(A16,M_Productos[],4,FALSE) + X16)*U16))</f>
        <v/>
      </c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P16" s="11"/>
    </row>
    <row r="17" spans="1:42" x14ac:dyDescent="0.25">
      <c r="A17" s="32"/>
      <c r="B17" s="32"/>
      <c r="C17" s="32"/>
      <c r="D17" s="43" t="str">
        <f>IF(A17="","",(VLOOKUP(A17,M_Productos[],2,FALSE)))</f>
        <v/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0"/>
      <c r="V17" s="41"/>
      <c r="W17" s="42"/>
      <c r="X17" s="44" t="str">
        <f>IF(A17="","",(VLOOKUP(A17,M_Productos[],4,FALSE)*VLOOKUP($A17,M_Productos[],3,FALSE)*U17))</f>
        <v/>
      </c>
      <c r="Y17" s="44"/>
      <c r="Z17" s="44"/>
      <c r="AA17" s="44"/>
      <c r="AB17" s="44"/>
      <c r="AC17" s="44"/>
      <c r="AD17" s="44" t="str">
        <f>IF(A17="","",((VLOOKUP(A17,M_Productos[],4,FALSE) + X17)*U17))</f>
        <v/>
      </c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P17" s="11"/>
    </row>
    <row r="18" spans="1:42" x14ac:dyDescent="0.25">
      <c r="A18" s="32"/>
      <c r="B18" s="32"/>
      <c r="C18" s="32"/>
      <c r="D18" s="43" t="str">
        <f>IF(A18="","",(VLOOKUP(A18,M_Productos[],2,FALSE)))</f>
        <v/>
      </c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0"/>
      <c r="V18" s="41"/>
      <c r="W18" s="42"/>
      <c r="X18" s="44" t="str">
        <f>IF(A18="","",(VLOOKUP(A18,M_Productos[],4,FALSE)*VLOOKUP($A18,M_Productos[],3,FALSE)*U18))</f>
        <v/>
      </c>
      <c r="Y18" s="44"/>
      <c r="Z18" s="44"/>
      <c r="AA18" s="44"/>
      <c r="AB18" s="44"/>
      <c r="AC18" s="44"/>
      <c r="AD18" s="44" t="str">
        <f>IF(A18="","",((VLOOKUP(A18,M_Productos[],4,FALSE) + X18)*U18))</f>
        <v/>
      </c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P18" s="11"/>
    </row>
    <row r="19" spans="1:42" x14ac:dyDescent="0.25">
      <c r="A19" s="32"/>
      <c r="B19" s="32"/>
      <c r="C19" s="32"/>
      <c r="D19" s="43" t="str">
        <f>IF(A19="","",(VLOOKUP(A19,M_Productos[],2,FALSE)))</f>
        <v/>
      </c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0"/>
      <c r="V19" s="41"/>
      <c r="W19" s="42"/>
      <c r="X19" s="44" t="str">
        <f>IF(A19="","",(VLOOKUP(A19,M_Productos[],4,FALSE)*VLOOKUP($A19,M_Productos[],3,FALSE)*U19))</f>
        <v/>
      </c>
      <c r="Y19" s="44"/>
      <c r="Z19" s="44"/>
      <c r="AA19" s="44"/>
      <c r="AB19" s="44"/>
      <c r="AC19" s="44"/>
      <c r="AD19" s="44" t="str">
        <f>IF(A19="","",((VLOOKUP(A19,M_Productos[],4,FALSE) + X19)*U19))</f>
        <v/>
      </c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P19" s="11"/>
    </row>
    <row r="20" spans="1:42" x14ac:dyDescent="0.25">
      <c r="A20" s="32"/>
      <c r="B20" s="32"/>
      <c r="C20" s="32"/>
      <c r="D20" s="43" t="str">
        <f>IF(A20="","",(VLOOKUP(A20,M_Productos[],2,FALSE)))</f>
        <v/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0"/>
      <c r="V20" s="41"/>
      <c r="W20" s="42"/>
      <c r="X20" s="44" t="str">
        <f>IF(A20="","",(VLOOKUP(A20,M_Productos[],4,FALSE)*VLOOKUP($A20,M_Productos[],3,FALSE)*U20))</f>
        <v/>
      </c>
      <c r="Y20" s="44"/>
      <c r="Z20" s="44"/>
      <c r="AA20" s="44"/>
      <c r="AB20" s="44"/>
      <c r="AC20" s="44"/>
      <c r="AD20" s="44" t="str">
        <f>IF(A20="","",((VLOOKUP(A20,M_Productos[],4,FALSE) + X20)*U20))</f>
        <v/>
      </c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P20" s="11"/>
    </row>
    <row r="21" spans="1:42" x14ac:dyDescent="0.25">
      <c r="A21" s="32"/>
      <c r="B21" s="32"/>
      <c r="C21" s="32"/>
      <c r="D21" s="43" t="str">
        <f>IF(A21="","",(VLOOKUP(A21,M_Productos[],2,FALSE)))</f>
        <v/>
      </c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0"/>
      <c r="V21" s="41"/>
      <c r="W21" s="42"/>
      <c r="X21" s="44" t="str">
        <f>IF(A21="","",(VLOOKUP(A21,M_Productos[],4,FALSE)*VLOOKUP($A21,M_Productos[],3,FALSE)*U21))</f>
        <v/>
      </c>
      <c r="Y21" s="44"/>
      <c r="Z21" s="44"/>
      <c r="AA21" s="44"/>
      <c r="AB21" s="44"/>
      <c r="AC21" s="44"/>
      <c r="AD21" s="44" t="str">
        <f>IF(A21="","",((VLOOKUP(A21,M_Productos[],4,FALSE) + X21)*U21))</f>
        <v/>
      </c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P21" s="11"/>
    </row>
    <row r="22" spans="1:42" x14ac:dyDescent="0.25">
      <c r="A22" s="32"/>
      <c r="B22" s="32"/>
      <c r="C22" s="32"/>
      <c r="D22" s="43" t="str">
        <f>IF(A22="","",(VLOOKUP(A22,M_Productos[],2,FALSE)))</f>
        <v/>
      </c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0"/>
      <c r="V22" s="41"/>
      <c r="W22" s="42"/>
      <c r="X22" s="44" t="str">
        <f>IF(A22="","",(VLOOKUP(A22,M_Productos[],4,FALSE)*VLOOKUP($A22,M_Productos[],3,FALSE)*U22))</f>
        <v/>
      </c>
      <c r="Y22" s="44"/>
      <c r="Z22" s="44"/>
      <c r="AA22" s="44"/>
      <c r="AB22" s="44"/>
      <c r="AC22" s="44"/>
      <c r="AD22" s="44" t="str">
        <f>IF(A22="","",((VLOOKUP(A22,M_Productos[],4,FALSE) + X22)*U22))</f>
        <v/>
      </c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P22" s="11"/>
    </row>
    <row r="23" spans="1:42" x14ac:dyDescent="0.25">
      <c r="A23" s="32"/>
      <c r="B23" s="32"/>
      <c r="C23" s="32"/>
      <c r="D23" s="43" t="str">
        <f>IF(A23="","",(VLOOKUP(A23,M_Productos[],2,FALSE)))</f>
        <v/>
      </c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0"/>
      <c r="V23" s="41"/>
      <c r="W23" s="42"/>
      <c r="X23" s="44" t="str">
        <f>IF(A23="","",(VLOOKUP(A23,M_Productos[],4,FALSE)*VLOOKUP($A23,M_Productos[],3,FALSE)*U23))</f>
        <v/>
      </c>
      <c r="Y23" s="44"/>
      <c r="Z23" s="44"/>
      <c r="AA23" s="44"/>
      <c r="AB23" s="44"/>
      <c r="AC23" s="44"/>
      <c r="AD23" s="44" t="str">
        <f>IF(A23="","",((VLOOKUP(A23,M_Productos[],4,FALSE) + X23)*U23))</f>
        <v/>
      </c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P23" s="11"/>
    </row>
    <row r="24" spans="1:42" x14ac:dyDescent="0.25">
      <c r="A24" s="32"/>
      <c r="B24" s="32"/>
      <c r="C24" s="32"/>
      <c r="D24" s="43" t="str">
        <f>IF(A24="","",(VLOOKUP(A24,M_Productos[],2,FALSE)))</f>
        <v/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0"/>
      <c r="V24" s="41"/>
      <c r="W24" s="42"/>
      <c r="X24" s="44" t="str">
        <f>IF(A24="","",(VLOOKUP(A24,M_Productos[],4,FALSE)*VLOOKUP($A24,M_Productos[],3,FALSE)*U24))</f>
        <v/>
      </c>
      <c r="Y24" s="44"/>
      <c r="Z24" s="44"/>
      <c r="AA24" s="44"/>
      <c r="AB24" s="44"/>
      <c r="AC24" s="44"/>
      <c r="AD24" s="44" t="str">
        <f>IF(A24="","",((VLOOKUP(A24,M_Productos[],4,FALSE) + X24)*U24))</f>
        <v/>
      </c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P24" s="11"/>
    </row>
    <row r="25" spans="1:42" x14ac:dyDescent="0.25">
      <c r="A25" s="32"/>
      <c r="B25" s="32"/>
      <c r="C25" s="32"/>
      <c r="D25" s="43" t="str">
        <f>IF(A25="","",(VLOOKUP(A25,M_Productos[],2,FALSE)))</f>
        <v/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0"/>
      <c r="V25" s="41"/>
      <c r="W25" s="42"/>
      <c r="X25" s="44" t="str">
        <f>IF(A25="","",(VLOOKUP(A25,M_Productos[],4,FALSE)*VLOOKUP($A25,M_Productos[],3,FALSE)*U25))</f>
        <v/>
      </c>
      <c r="Y25" s="44"/>
      <c r="Z25" s="44"/>
      <c r="AA25" s="44"/>
      <c r="AB25" s="44"/>
      <c r="AC25" s="44"/>
      <c r="AD25" s="44" t="str">
        <f>IF(A25="","",((VLOOKUP(A25,M_Productos[],4,FALSE) + X25)*U25))</f>
        <v/>
      </c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P25" s="11"/>
    </row>
    <row r="26" spans="1:42" x14ac:dyDescent="0.25">
      <c r="A26" s="32"/>
      <c r="B26" s="32"/>
      <c r="C26" s="32"/>
      <c r="D26" s="43" t="str">
        <f>IF(A26="","",(VLOOKUP(A26,M_Productos[],2,FALSE)))</f>
        <v/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0"/>
      <c r="V26" s="41"/>
      <c r="W26" s="42"/>
      <c r="X26" s="44" t="str">
        <f>IF(A26="","",(VLOOKUP(A26,M_Productos[],4,FALSE)*VLOOKUP($A26,M_Productos[],3,FALSE)*U26))</f>
        <v/>
      </c>
      <c r="Y26" s="44"/>
      <c r="Z26" s="44"/>
      <c r="AA26" s="44"/>
      <c r="AB26" s="44"/>
      <c r="AC26" s="44"/>
      <c r="AD26" s="44" t="str">
        <f>IF(A26="","",((VLOOKUP(A26,M_Productos[],4,FALSE) + X26)*U26))</f>
        <v/>
      </c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P26" s="11"/>
    </row>
    <row r="27" spans="1:42" x14ac:dyDescent="0.25">
      <c r="A27" s="32"/>
      <c r="B27" s="32"/>
      <c r="C27" s="32"/>
      <c r="D27" s="43" t="str">
        <f>IF(A27="","",(VLOOKUP(A27,M_Productos[],2,FALSE)))</f>
        <v/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0"/>
      <c r="V27" s="41"/>
      <c r="W27" s="42"/>
      <c r="X27" s="44" t="str">
        <f>IF(A27="","",(VLOOKUP(A27,M_Productos[],4,FALSE)*VLOOKUP($A27,M_Productos[],3,FALSE)*U27))</f>
        <v/>
      </c>
      <c r="Y27" s="44"/>
      <c r="Z27" s="44"/>
      <c r="AA27" s="44"/>
      <c r="AB27" s="44"/>
      <c r="AC27" s="44"/>
      <c r="AD27" s="44" t="str">
        <f>IF(A27="","",((VLOOKUP(A27,M_Productos[],4,FALSE) + X27)*U27))</f>
        <v/>
      </c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P27" s="11"/>
    </row>
    <row r="28" spans="1:42" ht="20.25" customHeight="1" x14ac:dyDescent="0.25">
      <c r="A28" s="50" t="s">
        <v>15</v>
      </c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1">
        <f>SUM(AD15:AN27)- SUM(X15:AC27)</f>
        <v>0</v>
      </c>
      <c r="AE28" s="51"/>
      <c r="AF28" s="51"/>
      <c r="AG28" s="51"/>
      <c r="AH28" s="51"/>
      <c r="AI28" s="51"/>
      <c r="AJ28" s="51"/>
      <c r="AK28" s="51"/>
      <c r="AL28" s="51"/>
      <c r="AM28" s="51"/>
      <c r="AN28" s="51"/>
    </row>
    <row r="29" spans="1:42" ht="18" customHeight="1" x14ac:dyDescent="0.25">
      <c r="A29" s="50" t="s">
        <v>16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1">
        <f>SUM(X15:AC27)</f>
        <v>0</v>
      </c>
      <c r="AE29" s="51"/>
      <c r="AF29" s="51"/>
      <c r="AG29" s="51"/>
      <c r="AH29" s="51"/>
      <c r="AI29" s="51"/>
      <c r="AJ29" s="51"/>
      <c r="AK29" s="51"/>
      <c r="AL29" s="51"/>
      <c r="AM29" s="51"/>
      <c r="AN29" s="51"/>
    </row>
    <row r="30" spans="1:42" ht="21" customHeight="1" x14ac:dyDescent="0.25">
      <c r="A30" s="50" t="s">
        <v>17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2">
        <f>SUM(AD28:AN29)</f>
        <v>0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</row>
    <row r="31" spans="1:42" ht="18" customHeight="1" x14ac:dyDescent="0.25">
      <c r="A31" s="50" t="s">
        <v>18</v>
      </c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1">
        <f>IF(AD28&lt;1000000,+AD28-AD30*2%,IF(AD28&lt;5000000,+AD28-AD30*5%,IF(AD28&lt;10000000,+AD28-AD30*10%,IF(AD28&lt;30000000,+AD28-AD30*15%,IF(AD28&gt;30000000,+AD28-AD30*20%)))))</f>
        <v>0</v>
      </c>
      <c r="AE31" s="51"/>
      <c r="AF31" s="51"/>
      <c r="AG31" s="51"/>
      <c r="AH31" s="51"/>
      <c r="AI31" s="51"/>
      <c r="AJ31" s="51"/>
      <c r="AK31" s="51"/>
      <c r="AL31" s="51"/>
      <c r="AM31" s="51"/>
      <c r="AN31" s="51"/>
    </row>
    <row r="34" spans="2:35" x14ac:dyDescent="0.25">
      <c r="B34" s="33" t="s">
        <v>98</v>
      </c>
      <c r="C34" s="33"/>
      <c r="D34" s="33"/>
      <c r="E34" s="33"/>
    </row>
    <row r="35" spans="2:35" x14ac:dyDescent="0.25">
      <c r="B35" s="33"/>
      <c r="C35" s="33"/>
      <c r="D35" s="33"/>
      <c r="E35" s="33"/>
    </row>
    <row r="38" spans="2:35" x14ac:dyDescent="0.25">
      <c r="AI38" t="s">
        <v>4</v>
      </c>
    </row>
  </sheetData>
  <sheetProtection sheet="1" objects="1" scenarios="1"/>
  <protectedRanges>
    <protectedRange sqref="AK5:AM5" name="Rango1"/>
  </protectedRanges>
  <dataConsolidate function="max"/>
  <mergeCells count="94">
    <mergeCell ref="X26:AC26"/>
    <mergeCell ref="AD26:AN26"/>
    <mergeCell ref="A30:AC30"/>
    <mergeCell ref="X27:AC27"/>
    <mergeCell ref="U27:W27"/>
    <mergeCell ref="AD27:AN27"/>
    <mergeCell ref="D27:T27"/>
    <mergeCell ref="A27:C27"/>
    <mergeCell ref="A31:AC31"/>
    <mergeCell ref="AD28:AN28"/>
    <mergeCell ref="AD29:AN29"/>
    <mergeCell ref="AD30:AN30"/>
    <mergeCell ref="AD31:AN31"/>
    <mergeCell ref="A28:AC28"/>
    <mergeCell ref="A29:AC29"/>
    <mergeCell ref="AD24:AN24"/>
    <mergeCell ref="AD25:AN25"/>
    <mergeCell ref="X23:AC23"/>
    <mergeCell ref="X24:AC24"/>
    <mergeCell ref="X25:AC25"/>
    <mergeCell ref="AD19:AN19"/>
    <mergeCell ref="AD20:AN20"/>
    <mergeCell ref="AD21:AN21"/>
    <mergeCell ref="AD22:AN22"/>
    <mergeCell ref="AD23:AN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X21:AC21"/>
    <mergeCell ref="A17:C17"/>
    <mergeCell ref="A18:C18"/>
    <mergeCell ref="A19:C19"/>
    <mergeCell ref="D14:T14"/>
    <mergeCell ref="D15:T15"/>
    <mergeCell ref="D16:T16"/>
    <mergeCell ref="D17:T17"/>
    <mergeCell ref="D18:T18"/>
    <mergeCell ref="X15:AC15"/>
    <mergeCell ref="X16:AC16"/>
    <mergeCell ref="A15:C15"/>
    <mergeCell ref="A16:C16"/>
    <mergeCell ref="D20:T20"/>
    <mergeCell ref="U19:W19"/>
    <mergeCell ref="X19:AC19"/>
    <mergeCell ref="X20:AC20"/>
    <mergeCell ref="A1:E6"/>
    <mergeCell ref="P12:Z12"/>
    <mergeCell ref="AK2:AM2"/>
    <mergeCell ref="A25:C25"/>
    <mergeCell ref="X22:AC22"/>
    <mergeCell ref="U24:W24"/>
    <mergeCell ref="U25:W25"/>
    <mergeCell ref="X17:AC17"/>
    <mergeCell ref="X18:AC18"/>
    <mergeCell ref="AK5:AM5"/>
    <mergeCell ref="AK4:AM4"/>
    <mergeCell ref="AK1:AM1"/>
    <mergeCell ref="D19:T19"/>
    <mergeCell ref="A21:C21"/>
    <mergeCell ref="U20:W20"/>
    <mergeCell ref="U21:W21"/>
    <mergeCell ref="A24:C24"/>
    <mergeCell ref="D24:T24"/>
    <mergeCell ref="D25:T25"/>
    <mergeCell ref="D26:T26"/>
    <mergeCell ref="A23:C23"/>
    <mergeCell ref="U22:W22"/>
    <mergeCell ref="U23:W23"/>
    <mergeCell ref="D22:T22"/>
    <mergeCell ref="D23:T23"/>
    <mergeCell ref="U26:W26"/>
    <mergeCell ref="D21:T21"/>
    <mergeCell ref="A20:C20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26:C26"/>
    <mergeCell ref="A22:C2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1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Normal="100" workbookViewId="0">
      <selection activeCell="AK35" sqref="AJ35:AK36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5"/>
      <c r="B1" s="39"/>
      <c r="C1" s="39"/>
      <c r="D1" s="39"/>
      <c r="E1" s="3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9" t="s">
        <v>0</v>
      </c>
      <c r="AL1" s="39"/>
      <c r="AM1" s="39"/>
      <c r="AN1" s="10"/>
    </row>
    <row r="2" spans="1:42" x14ac:dyDescent="0.25">
      <c r="A2" s="46"/>
      <c r="B2" s="36"/>
      <c r="C2" s="36"/>
      <c r="D2" s="36"/>
      <c r="E2" s="36"/>
      <c r="AK2" s="48">
        <f ca="1">TODAY()</f>
        <v>44787</v>
      </c>
      <c r="AL2" s="48"/>
      <c r="AM2" s="48"/>
      <c r="AN2" s="9"/>
    </row>
    <row r="3" spans="1:42" x14ac:dyDescent="0.25">
      <c r="A3" s="46"/>
      <c r="B3" s="36"/>
      <c r="C3" s="36"/>
      <c r="D3" s="36"/>
      <c r="E3" s="36"/>
      <c r="O3" s="35" t="s">
        <v>1</v>
      </c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N3" s="3"/>
    </row>
    <row r="4" spans="1:42" x14ac:dyDescent="0.25">
      <c r="A4" s="46"/>
      <c r="B4" s="36"/>
      <c r="C4" s="36"/>
      <c r="D4" s="36"/>
      <c r="E4" s="36"/>
      <c r="AK4" s="36" t="s">
        <v>2</v>
      </c>
      <c r="AL4" s="36"/>
      <c r="AM4" s="36"/>
      <c r="AN4" s="3"/>
    </row>
    <row r="5" spans="1:42" ht="15" customHeight="1" x14ac:dyDescent="0.25">
      <c r="A5" s="46"/>
      <c r="B5" s="36"/>
      <c r="C5" s="36"/>
      <c r="D5" s="36"/>
      <c r="E5" s="36"/>
      <c r="O5" s="36" t="s">
        <v>3</v>
      </c>
      <c r="P5" s="36"/>
      <c r="Q5" s="36"/>
      <c r="R5" s="36"/>
      <c r="S5" s="36"/>
      <c r="T5" s="36"/>
      <c r="U5" s="36"/>
      <c r="V5" s="36"/>
      <c r="W5" s="36"/>
      <c r="X5" s="36"/>
      <c r="Y5" s="36"/>
      <c r="AJ5" t="s">
        <v>4</v>
      </c>
      <c r="AK5" s="49">
        <v>19</v>
      </c>
      <c r="AL5" s="49"/>
      <c r="AM5" s="49"/>
      <c r="AN5" s="3"/>
    </row>
    <row r="6" spans="1:42" x14ac:dyDescent="0.25">
      <c r="A6" s="46"/>
      <c r="B6" s="36"/>
      <c r="C6" s="36"/>
      <c r="D6" s="36"/>
      <c r="E6" s="36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37" t="s">
        <v>5</v>
      </c>
      <c r="G9" s="37"/>
      <c r="H9" s="37"/>
      <c r="I9" s="37"/>
      <c r="J9" s="37"/>
      <c r="K9" s="37"/>
      <c r="P9" s="38" t="str">
        <f>IF($AK$5="","",VLOOKUP($AK$5,m_facturas[],2,FALSE))</f>
        <v>Alexander Mendez</v>
      </c>
      <c r="Q9" s="38"/>
      <c r="R9" s="38"/>
      <c r="S9" s="38"/>
      <c r="T9" s="38"/>
      <c r="U9" s="38"/>
      <c r="V9" s="38"/>
      <c r="W9" s="38"/>
      <c r="X9" s="38"/>
      <c r="Y9" s="38"/>
      <c r="Z9" s="38"/>
      <c r="AN9" s="3"/>
    </row>
    <row r="10" spans="1:42" ht="15.75" thickBot="1" x14ac:dyDescent="0.3">
      <c r="A10" s="2"/>
      <c r="F10" s="37" t="s">
        <v>6</v>
      </c>
      <c r="G10" s="37"/>
      <c r="H10" s="37"/>
      <c r="I10" s="37"/>
      <c r="J10" s="37"/>
      <c r="K10" s="37"/>
      <c r="P10" s="39">
        <f>IF(P9="","",VLOOKUP(P9,M_Empleados[],2,FALSE))</f>
        <v>5227080</v>
      </c>
      <c r="Q10" s="39"/>
      <c r="R10" s="39"/>
      <c r="S10" s="39"/>
      <c r="T10" s="39"/>
      <c r="U10" s="39"/>
      <c r="V10" s="39"/>
      <c r="W10" s="39"/>
      <c r="X10" s="39"/>
      <c r="Y10" s="39"/>
      <c r="Z10" s="39"/>
      <c r="AN10" s="3"/>
    </row>
    <row r="11" spans="1:42" ht="15.75" thickBot="1" x14ac:dyDescent="0.3">
      <c r="A11" s="2"/>
      <c r="F11" s="37" t="s">
        <v>8</v>
      </c>
      <c r="G11" s="37"/>
      <c r="H11" s="37"/>
      <c r="I11" s="37"/>
      <c r="J11" s="37"/>
      <c r="K11" s="37"/>
      <c r="P11" s="39" t="str">
        <f>IF(P10="","",VLOOKUP(P9,M_Empleados[],3,FALSE))</f>
        <v>Resgistro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  <c r="AN11" s="3"/>
    </row>
    <row r="12" spans="1:42" ht="15.75" thickBot="1" x14ac:dyDescent="0.3">
      <c r="A12" s="2"/>
      <c r="F12" s="37" t="s">
        <v>9</v>
      </c>
      <c r="G12" s="37"/>
      <c r="H12" s="37"/>
      <c r="I12" s="7"/>
      <c r="J12" s="7"/>
      <c r="K12" s="7"/>
      <c r="P12" s="47" t="str">
        <f>IF(P11="","",VLOOKUP(P9,Empleados,4,FALSE))</f>
        <v>Transversal 5 # 44-5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N12" s="3"/>
    </row>
    <row r="13" spans="1:42" x14ac:dyDescent="0.25">
      <c r="A13" s="2"/>
      <c r="AN13" s="3"/>
      <c r="AP13" t="str">
        <f>IF(BF3="","",VLOOKUP($AK$5,m_facturas[],17,FALSE))</f>
        <v/>
      </c>
    </row>
    <row r="14" spans="1:42" x14ac:dyDescent="0.25">
      <c r="A14" s="34" t="s">
        <v>10</v>
      </c>
      <c r="B14" s="34"/>
      <c r="C14" s="34"/>
      <c r="D14" s="34" t="s">
        <v>11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 t="s">
        <v>12</v>
      </c>
      <c r="V14" s="34"/>
      <c r="W14" s="34"/>
      <c r="X14" s="34" t="s">
        <v>13</v>
      </c>
      <c r="Y14" s="34"/>
      <c r="Z14" s="34"/>
      <c r="AA14" s="34"/>
      <c r="AB14" s="34"/>
      <c r="AC14" s="34"/>
      <c r="AD14" s="34" t="s">
        <v>14</v>
      </c>
      <c r="AE14" s="34"/>
      <c r="AF14" s="34"/>
      <c r="AG14" s="34"/>
      <c r="AH14" s="34"/>
      <c r="AI14" s="34"/>
      <c r="AJ14" s="34"/>
      <c r="AK14" s="34"/>
      <c r="AL14" s="34"/>
      <c r="AM14" s="34"/>
      <c r="AN14" s="34"/>
    </row>
    <row r="15" spans="1:42" x14ac:dyDescent="0.25">
      <c r="A15" s="53" t="str">
        <f>IF($AK$5="","",IF(VLOOKUP($AK$5,m_facturas[],4,FALSE)="","",VLOOKUP($AK$5,m_facturas[],4,FALSE)))</f>
        <v/>
      </c>
      <c r="B15" s="54"/>
      <c r="C15" s="55"/>
      <c r="D15" s="43" t="str">
        <f>IF(A15="","",(VLOOKUP(A15,M_Productos[],2,FALSE)))</f>
        <v/>
      </c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53" t="str">
        <f>IF(A15="","",VLOOKUP($AK$5,m_facturas[],17,FALSE))</f>
        <v/>
      </c>
      <c r="V15" s="54"/>
      <c r="W15" s="55"/>
      <c r="X15" s="44" t="str">
        <f>IF(A15="","",(VLOOKUP(A15,M_Productos[],4,FALSE)*VLOOKUP($A15,M_Productos[],3,FALSE)*U15))</f>
        <v/>
      </c>
      <c r="Y15" s="44"/>
      <c r="Z15" s="44"/>
      <c r="AA15" s="44"/>
      <c r="AB15" s="44"/>
      <c r="AC15" s="44"/>
      <c r="AD15" s="44" t="str">
        <f>IF(A15="","",((VLOOKUP(A15,M_Productos[],4,FALSE) + X15)*U15))</f>
        <v/>
      </c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P15" s="11"/>
    </row>
    <row r="16" spans="1:42" x14ac:dyDescent="0.25">
      <c r="A16" s="53" t="str">
        <f>IF($AK$5="","",IF(VLOOKUP($AK$5,m_facturas[],5,FALSE)="","",VLOOKUP($AK$5,m_facturas[],5,FALSE)))</f>
        <v/>
      </c>
      <c r="B16" s="54"/>
      <c r="C16" s="55"/>
      <c r="D16" s="43" t="str">
        <f>IF(A16="","",(VLOOKUP(A16,M_Productos[],2,FALSE)))</f>
        <v/>
      </c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53" t="str">
        <f>IF(A16="","",VLOOKUP($AK$5,m_facturas[],18,FALSE))</f>
        <v/>
      </c>
      <c r="V16" s="54"/>
      <c r="W16" s="55"/>
      <c r="X16" s="44" t="str">
        <f>IF(A16="","",(VLOOKUP(A16,M_Productos[],4,FALSE)*VLOOKUP($A16,M_Productos[],3,FALSE)*U16))</f>
        <v/>
      </c>
      <c r="Y16" s="44"/>
      <c r="Z16" s="44"/>
      <c r="AA16" s="44"/>
      <c r="AB16" s="44"/>
      <c r="AC16" s="44"/>
      <c r="AD16" s="56" t="str">
        <f>IF(A16="","",((VLOOKUP(A16,M_Productos[],4,FALSE) + X16)*U16))</f>
        <v/>
      </c>
      <c r="AE16" s="57"/>
      <c r="AF16" s="57"/>
      <c r="AG16" s="57"/>
      <c r="AH16" s="57"/>
      <c r="AI16" s="57"/>
      <c r="AJ16" s="57"/>
      <c r="AK16" s="57"/>
      <c r="AL16" s="57"/>
      <c r="AM16" s="57"/>
      <c r="AN16" s="58"/>
      <c r="AP16" s="11"/>
    </row>
    <row r="17" spans="1:42" x14ac:dyDescent="0.25">
      <c r="A17" s="53" t="str">
        <f>IF($AK$5="","",IF(VLOOKUP($AK$5,m_facturas[],6,FALSE)="","",VLOOKUP($AK$5,m_facturas[],6,FALSE)))</f>
        <v/>
      </c>
      <c r="B17" s="54"/>
      <c r="C17" s="55"/>
      <c r="D17" s="43" t="str">
        <f>IF(A17="","",(VLOOKUP(A17,M_Productos[],2,FALSE)))</f>
        <v/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53" t="str">
        <f>IF(A17="","",VLOOKUP($AK$5,m_facturas[],19,FALSE))</f>
        <v/>
      </c>
      <c r="V17" s="54"/>
      <c r="W17" s="55"/>
      <c r="X17" s="44" t="str">
        <f>IF(A17="","",(VLOOKUP(A17,M_Productos[],4,FALSE)*VLOOKUP($A17,M_Productos[],3,FALSE)*U17))</f>
        <v/>
      </c>
      <c r="Y17" s="44"/>
      <c r="Z17" s="44"/>
      <c r="AA17" s="44"/>
      <c r="AB17" s="44"/>
      <c r="AC17" s="44"/>
      <c r="AD17" s="56" t="str">
        <f>IF(A17="","",((VLOOKUP(A17,M_Productos[],4,FALSE) + X17)*U17))</f>
        <v/>
      </c>
      <c r="AE17" s="57"/>
      <c r="AF17" s="57"/>
      <c r="AG17" s="57"/>
      <c r="AH17" s="57"/>
      <c r="AI17" s="57"/>
      <c r="AJ17" s="57"/>
      <c r="AK17" s="57"/>
      <c r="AL17" s="57"/>
      <c r="AM17" s="57"/>
      <c r="AN17" s="58"/>
      <c r="AP17" s="11"/>
    </row>
    <row r="18" spans="1:42" x14ac:dyDescent="0.25">
      <c r="A18" s="53" t="str">
        <f>IF($AK$5="","",IF(VLOOKUP($AK$5,m_facturas[],7,FALSE)="","",VLOOKUP($AK$5,m_facturas[],7,FALSE)))</f>
        <v>AN104</v>
      </c>
      <c r="B18" s="54"/>
      <c r="C18" s="55"/>
      <c r="D18" s="43" t="str">
        <f>IF(A18="","",(VLOOKUP(A18,M_Productos[],2,FALSE)))</f>
        <v>MOUSE LOGITEC G302</v>
      </c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53">
        <f>IF(A18="","",VLOOKUP($AK$5,m_facturas[],20,FALSE))</f>
        <v>1</v>
      </c>
      <c r="V18" s="54"/>
      <c r="W18" s="55"/>
      <c r="X18" s="44">
        <f>IF(A18="","",(VLOOKUP(A18,M_Productos[],4,FALSE)*VLOOKUP($A18,M_Productos[],3,FALSE)*U18))</f>
        <v>19500</v>
      </c>
      <c r="Y18" s="44"/>
      <c r="Z18" s="44"/>
      <c r="AA18" s="44"/>
      <c r="AB18" s="44"/>
      <c r="AC18" s="44"/>
      <c r="AD18" s="56">
        <f>IF(A18="","",((VLOOKUP(A18,M_Productos[],4,FALSE) + X18)*U18))</f>
        <v>149500</v>
      </c>
      <c r="AE18" s="57"/>
      <c r="AF18" s="57"/>
      <c r="AG18" s="57"/>
      <c r="AH18" s="57"/>
      <c r="AI18" s="57"/>
      <c r="AJ18" s="57"/>
      <c r="AK18" s="57"/>
      <c r="AL18" s="57"/>
      <c r="AM18" s="57"/>
      <c r="AN18" s="58"/>
      <c r="AP18" s="11"/>
    </row>
    <row r="19" spans="1:42" x14ac:dyDescent="0.25">
      <c r="A19" s="53" t="str">
        <f>IF($AK$5="","",IF(VLOOKUP($AK$5,m_facturas[],8,FALSE)="","",VLOOKUP($AK$5,m_facturas[],8,FALSE)))</f>
        <v/>
      </c>
      <c r="B19" s="54"/>
      <c r="C19" s="55"/>
      <c r="D19" s="43" t="str">
        <f>IF(A19="","",(VLOOKUP(A19,M_Productos[],2,FALSE)))</f>
        <v/>
      </c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53" t="str">
        <f>IF(A19="","",VLOOKUP($AK$5,m_facturas[],21,FALSE))</f>
        <v/>
      </c>
      <c r="V19" s="54"/>
      <c r="W19" s="55"/>
      <c r="X19" s="44" t="str">
        <f>IF(A19="","",(VLOOKUP(A19,M_Productos[],4,FALSE)*VLOOKUP($A19,M_Productos[],3,FALSE)*U19))</f>
        <v/>
      </c>
      <c r="Y19" s="44"/>
      <c r="Z19" s="44"/>
      <c r="AA19" s="44"/>
      <c r="AB19" s="44"/>
      <c r="AC19" s="44"/>
      <c r="AD19" s="56" t="str">
        <f>IF(A19="","",((VLOOKUP(A19,M_Productos[],4,FALSE) + X19)*U19))</f>
        <v/>
      </c>
      <c r="AE19" s="57"/>
      <c r="AF19" s="57"/>
      <c r="AG19" s="57"/>
      <c r="AH19" s="57"/>
      <c r="AI19" s="57"/>
      <c r="AJ19" s="57"/>
      <c r="AK19" s="57"/>
      <c r="AL19" s="57"/>
      <c r="AM19" s="57"/>
      <c r="AN19" s="58"/>
      <c r="AP19" s="11"/>
    </row>
    <row r="20" spans="1:42" x14ac:dyDescent="0.25">
      <c r="A20" s="53" t="str">
        <f>IF($AK$5="","",IF(VLOOKUP($AK$5,m_facturas[],9,FALSE)="","",VLOOKUP($AK$5,m_facturas[],9,FALSE)))</f>
        <v/>
      </c>
      <c r="B20" s="54"/>
      <c r="C20" s="55"/>
      <c r="D20" s="43" t="str">
        <f>IF(A20="","",(VLOOKUP(A20,M_Productos[],2,FALSE)))</f>
        <v/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53" t="str">
        <f>IF(A20="","",VLOOKUP($AK$5,m_facturas[],22,FALSE))</f>
        <v/>
      </c>
      <c r="V20" s="54"/>
      <c r="W20" s="55"/>
      <c r="X20" s="44" t="str">
        <f>IF(A20="","",(VLOOKUP(A20,M_Productos[],4,FALSE)*VLOOKUP($A20,M_Productos[],3,FALSE)*U20))</f>
        <v/>
      </c>
      <c r="Y20" s="44"/>
      <c r="Z20" s="44"/>
      <c r="AA20" s="44"/>
      <c r="AB20" s="44"/>
      <c r="AC20" s="44"/>
      <c r="AD20" s="56" t="str">
        <f>IF(A20="","",((VLOOKUP(A20,M_Productos[],4,FALSE) + X20)*U20))</f>
        <v/>
      </c>
      <c r="AE20" s="57"/>
      <c r="AF20" s="57"/>
      <c r="AG20" s="57"/>
      <c r="AH20" s="57"/>
      <c r="AI20" s="57"/>
      <c r="AJ20" s="57"/>
      <c r="AK20" s="57"/>
      <c r="AL20" s="57"/>
      <c r="AM20" s="57"/>
      <c r="AN20" s="58"/>
      <c r="AP20" s="11"/>
    </row>
    <row r="21" spans="1:42" x14ac:dyDescent="0.25">
      <c r="A21" s="53" t="str">
        <f>IF($AK$5="","",IF(VLOOKUP($AK$5,m_facturas[],10,FALSE)="","",VLOOKUP($AK$5,m_facturas[],10,FALSE)))</f>
        <v/>
      </c>
      <c r="B21" s="54"/>
      <c r="C21" s="55"/>
      <c r="D21" s="43" t="str">
        <f>IF(A21="","",(VLOOKUP(A21,M_Productos[],2,FALSE)))</f>
        <v/>
      </c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53" t="str">
        <f>IF(A21="","",VLOOKUP($AK$5,m_facturas[],23,FALSE))</f>
        <v/>
      </c>
      <c r="V21" s="54"/>
      <c r="W21" s="55"/>
      <c r="X21" s="44" t="str">
        <f>IF(A21="","",(VLOOKUP(A21,M_Productos[],4,FALSE)*VLOOKUP($A21,M_Productos[],3,FALSE)*U21))</f>
        <v/>
      </c>
      <c r="Y21" s="44"/>
      <c r="Z21" s="44"/>
      <c r="AA21" s="44"/>
      <c r="AB21" s="44"/>
      <c r="AC21" s="44"/>
      <c r="AD21" s="56" t="str">
        <f>IF(A21="","",((VLOOKUP(A21,M_Productos[],4,FALSE) + X21)*U21))</f>
        <v/>
      </c>
      <c r="AE21" s="57"/>
      <c r="AF21" s="57"/>
      <c r="AG21" s="57"/>
      <c r="AH21" s="57"/>
      <c r="AI21" s="57"/>
      <c r="AJ21" s="57"/>
      <c r="AK21" s="57"/>
      <c r="AL21" s="57"/>
      <c r="AM21" s="57"/>
      <c r="AN21" s="58"/>
      <c r="AP21" s="11"/>
    </row>
    <row r="22" spans="1:42" x14ac:dyDescent="0.25">
      <c r="A22" s="53" t="str">
        <f>IF($AK$5="","",IF(VLOOKUP($AK$5,m_facturas[],11,FALSE)="","",VLOOKUP($AK$5,m_facturas[],11,FALSE)))</f>
        <v>AN104</v>
      </c>
      <c r="B22" s="54"/>
      <c r="C22" s="55"/>
      <c r="D22" s="43" t="str">
        <f>IF(A22="","",(VLOOKUP(A22,M_Productos[],2,FALSE)))</f>
        <v>MOUSE LOGITEC G302</v>
      </c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53">
        <f>IF(A22="","",VLOOKUP($AK$5,m_facturas[],24,FALSE))</f>
        <v>1</v>
      </c>
      <c r="V22" s="54"/>
      <c r="W22" s="55"/>
      <c r="X22" s="44">
        <f>IF(A22="","",(VLOOKUP(A22,M_Productos[],4,FALSE)*VLOOKUP($A22,M_Productos[],3,FALSE)*U22))</f>
        <v>19500</v>
      </c>
      <c r="Y22" s="44"/>
      <c r="Z22" s="44"/>
      <c r="AA22" s="44"/>
      <c r="AB22" s="44"/>
      <c r="AC22" s="44"/>
      <c r="AD22" s="56">
        <f>IF(A22="","",((VLOOKUP(A22,M_Productos[],4,FALSE) + X22)*U22))</f>
        <v>149500</v>
      </c>
      <c r="AE22" s="57"/>
      <c r="AF22" s="57"/>
      <c r="AG22" s="57"/>
      <c r="AH22" s="57"/>
      <c r="AI22" s="57"/>
      <c r="AJ22" s="57"/>
      <c r="AK22" s="57"/>
      <c r="AL22" s="57"/>
      <c r="AM22" s="57"/>
      <c r="AN22" s="58"/>
      <c r="AP22" s="11"/>
    </row>
    <row r="23" spans="1:42" x14ac:dyDescent="0.25">
      <c r="A23" s="53" t="str">
        <f>IF($AK$5="","",IF(VLOOKUP($AK$5,m_facturas[],12,FALSE)="","",VLOOKUP($AK$5,m_facturas[],12,FALSE)))</f>
        <v/>
      </c>
      <c r="B23" s="54"/>
      <c r="C23" s="55"/>
      <c r="D23" s="43" t="str">
        <f>IF(A23="","",(VLOOKUP(A23,M_Productos[],2,FALSE)))</f>
        <v/>
      </c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53" t="str">
        <f>IF(A23="","",VLOOKUP($AK$5,m_facturas[],25,FALSE))</f>
        <v/>
      </c>
      <c r="V23" s="54"/>
      <c r="W23" s="55"/>
      <c r="X23" s="44" t="str">
        <f>IF(A23="","",(VLOOKUP(A23,M_Productos[],4,FALSE)*VLOOKUP($A23,M_Productos[],3,FALSE)*U23))</f>
        <v/>
      </c>
      <c r="Y23" s="44"/>
      <c r="Z23" s="44"/>
      <c r="AA23" s="44"/>
      <c r="AB23" s="44"/>
      <c r="AC23" s="44"/>
      <c r="AD23" s="56" t="str">
        <f>IF(A23="","",((VLOOKUP(A23,M_Productos[],4,FALSE) + X23)*U23))</f>
        <v/>
      </c>
      <c r="AE23" s="57"/>
      <c r="AF23" s="57"/>
      <c r="AG23" s="57"/>
      <c r="AH23" s="57"/>
      <c r="AI23" s="57"/>
      <c r="AJ23" s="57"/>
      <c r="AK23" s="57"/>
      <c r="AL23" s="57"/>
      <c r="AM23" s="57"/>
      <c r="AN23" s="58"/>
      <c r="AP23" s="11"/>
    </row>
    <row r="24" spans="1:42" x14ac:dyDescent="0.25">
      <c r="A24" s="53" t="str">
        <f>IF($AK$5="","",IF(VLOOKUP($AK$5,m_facturas[],13,FALSE)="","",VLOOKUP($AK$5,m_facturas[],13,FALSE)))</f>
        <v/>
      </c>
      <c r="B24" s="54"/>
      <c r="C24" s="55"/>
      <c r="D24" s="43" t="str">
        <f>IF(A24="","",(VLOOKUP(A24,M_Productos[],2,FALSE)))</f>
        <v/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53" t="str">
        <f>IF(A24="","",VLOOKUP($AK$5,m_facturas[],26,FALSE))</f>
        <v/>
      </c>
      <c r="V24" s="54"/>
      <c r="W24" s="55"/>
      <c r="X24" s="44" t="str">
        <f>IF(A24="","",(VLOOKUP(A24,M_Productos[],4,FALSE)*VLOOKUP($A24,M_Productos[],3,FALSE)*U24))</f>
        <v/>
      </c>
      <c r="Y24" s="44"/>
      <c r="Z24" s="44"/>
      <c r="AA24" s="44"/>
      <c r="AB24" s="44"/>
      <c r="AC24" s="44"/>
      <c r="AD24" s="56" t="str">
        <f>IF(A24="","",((VLOOKUP(A24,M_Productos[],4,FALSE) + X24)*U24))</f>
        <v/>
      </c>
      <c r="AE24" s="57"/>
      <c r="AF24" s="57"/>
      <c r="AG24" s="57"/>
      <c r="AH24" s="57"/>
      <c r="AI24" s="57"/>
      <c r="AJ24" s="57"/>
      <c r="AK24" s="57"/>
      <c r="AL24" s="57"/>
      <c r="AM24" s="57"/>
      <c r="AN24" s="58"/>
      <c r="AP24" s="11"/>
    </row>
    <row r="25" spans="1:42" x14ac:dyDescent="0.25">
      <c r="A25" s="53" t="str">
        <f>IF($AK$5="","",IF(VLOOKUP($AK$5,m_facturas[],14,FALSE)="","",VLOOKUP($AK$5,m_facturas[],14,FALSE)))</f>
        <v/>
      </c>
      <c r="B25" s="54"/>
      <c r="C25" s="55"/>
      <c r="D25" s="43" t="str">
        <f>IF(A25="","",(VLOOKUP(A25,M_Productos[],2,FALSE)))</f>
        <v/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53" t="str">
        <f>IF(A25="","",VLOOKUP($AK$5,m_facturas[],27,FALSE))</f>
        <v/>
      </c>
      <c r="V25" s="54"/>
      <c r="W25" s="55"/>
      <c r="X25" s="44" t="str">
        <f>IF(A25="","",(VLOOKUP(A25,M_Productos[],4,FALSE)*VLOOKUP($A25,M_Productos[],3,FALSE)*U25))</f>
        <v/>
      </c>
      <c r="Y25" s="44"/>
      <c r="Z25" s="44"/>
      <c r="AA25" s="44"/>
      <c r="AB25" s="44"/>
      <c r="AC25" s="44"/>
      <c r="AD25" s="56" t="str">
        <f>IF(A25="","",((VLOOKUP(A25,M_Productos[],4,FALSE) + X25)*U25))</f>
        <v/>
      </c>
      <c r="AE25" s="57"/>
      <c r="AF25" s="57"/>
      <c r="AG25" s="57"/>
      <c r="AH25" s="57"/>
      <c r="AI25" s="57"/>
      <c r="AJ25" s="57"/>
      <c r="AK25" s="57"/>
      <c r="AL25" s="57"/>
      <c r="AM25" s="57"/>
      <c r="AN25" s="58"/>
      <c r="AP25" s="11"/>
    </row>
    <row r="26" spans="1:42" x14ac:dyDescent="0.25">
      <c r="A26" s="53" t="str">
        <f>IF($AK$5="","",IF(VLOOKUP($AK$5,m_facturas[],15,FALSE)="","",VLOOKUP($AK$5,m_facturas[],15,FALSE)))</f>
        <v/>
      </c>
      <c r="B26" s="54"/>
      <c r="C26" s="55"/>
      <c r="D26" s="43" t="str">
        <f>IF(A26="","",(VLOOKUP(A26,M_Productos[],2,FALSE)))</f>
        <v/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53" t="str">
        <f>IF(A26="","",VLOOKUP($AK$5,m_facturas[],28,FALSE))</f>
        <v/>
      </c>
      <c r="V26" s="54"/>
      <c r="W26" s="55"/>
      <c r="X26" s="44" t="str">
        <f>IF(A26="","",(VLOOKUP(A26,M_Productos[],4,FALSE)*VLOOKUP($A26,M_Productos[],3,FALSE)*U26))</f>
        <v/>
      </c>
      <c r="Y26" s="44"/>
      <c r="Z26" s="44"/>
      <c r="AA26" s="44"/>
      <c r="AB26" s="44"/>
      <c r="AC26" s="44"/>
      <c r="AD26" s="56" t="str">
        <f>IF(A26="","",((VLOOKUP(A26,M_Productos[],4,FALSE) + X26)*U26))</f>
        <v/>
      </c>
      <c r="AE26" s="57"/>
      <c r="AF26" s="57"/>
      <c r="AG26" s="57"/>
      <c r="AH26" s="57"/>
      <c r="AI26" s="57"/>
      <c r="AJ26" s="57"/>
      <c r="AK26" s="57"/>
      <c r="AL26" s="57"/>
      <c r="AM26" s="57"/>
      <c r="AN26" s="58"/>
      <c r="AP26" s="11"/>
    </row>
    <row r="27" spans="1:42" x14ac:dyDescent="0.25">
      <c r="A27" s="53" t="str">
        <f>IF($AK$5="","",IF(VLOOKUP($AK$5,m_facturas[],16,FALSE)="","",VLOOKUP($AK$5,m_facturas[],16,FALSE)))</f>
        <v/>
      </c>
      <c r="B27" s="54"/>
      <c r="C27" s="55"/>
      <c r="D27" s="43" t="str">
        <f>IF(A27="","",(VLOOKUP(A27,M_Productos[],2,FALSE)))</f>
        <v/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53" t="str">
        <f>IF(A27="","",VLOOKUP($AK$5,m_facturas[],29,FALSE))</f>
        <v/>
      </c>
      <c r="V27" s="54"/>
      <c r="W27" s="55"/>
      <c r="X27" s="44" t="str">
        <f>IF(A27="","",(VLOOKUP(A27,M_Productos[],4,FALSE)*VLOOKUP($A27,M_Productos[],3,FALSE)*U27))</f>
        <v/>
      </c>
      <c r="Y27" s="44"/>
      <c r="Z27" s="44"/>
      <c r="AA27" s="44"/>
      <c r="AB27" s="44"/>
      <c r="AC27" s="44"/>
      <c r="AD27" s="56" t="str">
        <f>IF(A27="","",((VLOOKUP(A27,M_Productos[],4,FALSE) + X27)*U27))</f>
        <v/>
      </c>
      <c r="AE27" s="57"/>
      <c r="AF27" s="57"/>
      <c r="AG27" s="57"/>
      <c r="AH27" s="57"/>
      <c r="AI27" s="57"/>
      <c r="AJ27" s="57"/>
      <c r="AK27" s="57"/>
      <c r="AL27" s="57"/>
      <c r="AM27" s="57"/>
      <c r="AN27" s="58"/>
      <c r="AP27" s="11"/>
    </row>
    <row r="28" spans="1:42" ht="20.25" customHeight="1" x14ac:dyDescent="0.25">
      <c r="A28" s="50" t="s">
        <v>15</v>
      </c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1">
        <f>SUM(AD15:AN27)- SUM(X15:AC27)</f>
        <v>260000</v>
      </c>
      <c r="AE28" s="51"/>
      <c r="AF28" s="51"/>
      <c r="AG28" s="51"/>
      <c r="AH28" s="51"/>
      <c r="AI28" s="51"/>
      <c r="AJ28" s="51"/>
      <c r="AK28" s="51"/>
      <c r="AL28" s="51"/>
      <c r="AM28" s="51"/>
      <c r="AN28" s="51"/>
    </row>
    <row r="29" spans="1:42" ht="18" customHeight="1" x14ac:dyDescent="0.25">
      <c r="A29" s="50" t="s">
        <v>16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1">
        <f>SUM(X15:AC27)</f>
        <v>39000</v>
      </c>
      <c r="AE29" s="51"/>
      <c r="AF29" s="51"/>
      <c r="AG29" s="51"/>
      <c r="AH29" s="51"/>
      <c r="AI29" s="51"/>
      <c r="AJ29" s="51"/>
      <c r="AK29" s="51"/>
      <c r="AL29" s="51"/>
      <c r="AM29" s="51"/>
      <c r="AN29" s="51"/>
    </row>
    <row r="30" spans="1:42" ht="21" customHeight="1" x14ac:dyDescent="0.25">
      <c r="A30" s="50" t="s">
        <v>17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2">
        <f>SUM(AD28:AN29)</f>
        <v>299000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</row>
    <row r="31" spans="1:42" ht="18" customHeight="1" x14ac:dyDescent="0.25">
      <c r="A31" s="50" t="s">
        <v>18</v>
      </c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1">
        <f>IF(AD28&lt;1000000,+AD28-AD30*2%,IF(AD28&lt;5000000,+AD28-AD30*5%,IF(AD28&lt;10000000,+AD28-AD30*10%,IF(AD28&lt;30000000,+AD28-AD30*15%,IF(AD28&gt;30000000,+AD28-AD30*20%)))))</f>
        <v>254020</v>
      </c>
      <c r="AE31" s="51"/>
      <c r="AF31" s="51"/>
      <c r="AG31" s="51"/>
      <c r="AH31" s="51"/>
      <c r="AI31" s="51"/>
      <c r="AJ31" s="51"/>
      <c r="AK31" s="51"/>
      <c r="AL31" s="51"/>
      <c r="AM31" s="51"/>
      <c r="AN31" s="51"/>
    </row>
    <row r="34" spans="2:5" x14ac:dyDescent="0.25">
      <c r="B34" s="33"/>
      <c r="C34" s="33"/>
      <c r="D34" s="33"/>
      <c r="E34" s="33"/>
    </row>
    <row r="35" spans="2:5" x14ac:dyDescent="0.25">
      <c r="B35" s="33"/>
      <c r="C35" s="33"/>
      <c r="D35" s="33"/>
      <c r="E35" s="33"/>
    </row>
  </sheetData>
  <sheetProtection sheet="1" objects="1" scenarios="1"/>
  <protectedRanges>
    <protectedRange sqref="AK5:AM5" name="Rango1"/>
  </protectedRanges>
  <dataConsolidate function="max"/>
  <mergeCells count="94"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  <mergeCell ref="A14:C14"/>
    <mergeCell ref="D14:T14"/>
    <mergeCell ref="U14:W14"/>
    <mergeCell ref="X14:AC14"/>
    <mergeCell ref="AD14:AN14"/>
    <mergeCell ref="A15:C15"/>
    <mergeCell ref="D15:T15"/>
    <mergeCell ref="U15:W15"/>
    <mergeCell ref="X15:AC15"/>
    <mergeCell ref="AD15:AN15"/>
    <mergeCell ref="A17:C17"/>
    <mergeCell ref="D17:T17"/>
    <mergeCell ref="U17:W17"/>
    <mergeCell ref="X17:AC17"/>
    <mergeCell ref="AD17:AN17"/>
    <mergeCell ref="A16:C16"/>
    <mergeCell ref="D16:T16"/>
    <mergeCell ref="U16:W16"/>
    <mergeCell ref="X16:AC16"/>
    <mergeCell ref="AD16:AN16"/>
    <mergeCell ref="A19:C19"/>
    <mergeCell ref="D19:T19"/>
    <mergeCell ref="U19:W19"/>
    <mergeCell ref="X19:AC19"/>
    <mergeCell ref="AD19:AN19"/>
    <mergeCell ref="A18:C18"/>
    <mergeCell ref="D18:T18"/>
    <mergeCell ref="U18:W18"/>
    <mergeCell ref="X18:AC18"/>
    <mergeCell ref="AD18:AN18"/>
    <mergeCell ref="A21:C21"/>
    <mergeCell ref="D21:T21"/>
    <mergeCell ref="U21:W21"/>
    <mergeCell ref="X21:AC21"/>
    <mergeCell ref="AD21:AN21"/>
    <mergeCell ref="A20:C20"/>
    <mergeCell ref="D20:T20"/>
    <mergeCell ref="U20:W20"/>
    <mergeCell ref="X20:AC20"/>
    <mergeCell ref="AD20:AN20"/>
    <mergeCell ref="A23:C23"/>
    <mergeCell ref="D23:T23"/>
    <mergeCell ref="U23:W23"/>
    <mergeCell ref="X23:AC23"/>
    <mergeCell ref="AD23:AN23"/>
    <mergeCell ref="A22:C22"/>
    <mergeCell ref="D22:T22"/>
    <mergeCell ref="U22:W22"/>
    <mergeCell ref="X22:AC22"/>
    <mergeCell ref="AD22:AN22"/>
    <mergeCell ref="A25:C25"/>
    <mergeCell ref="D25:T25"/>
    <mergeCell ref="U25:W25"/>
    <mergeCell ref="X25:AC25"/>
    <mergeCell ref="AD25:AN25"/>
    <mergeCell ref="A24:C24"/>
    <mergeCell ref="D24:T24"/>
    <mergeCell ref="U24:W24"/>
    <mergeCell ref="X24:AC24"/>
    <mergeCell ref="AD24:AN24"/>
    <mergeCell ref="A27:C27"/>
    <mergeCell ref="D27:T27"/>
    <mergeCell ref="U27:W27"/>
    <mergeCell ref="X27:AC27"/>
    <mergeCell ref="AD27:AN27"/>
    <mergeCell ref="A26:C26"/>
    <mergeCell ref="D26:T26"/>
    <mergeCell ref="U26:W26"/>
    <mergeCell ref="X26:AC26"/>
    <mergeCell ref="AD26:AN26"/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</mergeCells>
  <dataValidations count="2">
    <dataValidation type="list" allowBlank="1" showInputMessage="1" showErrorMessage="1" sqref="AK5:AM5" xr:uid="{E9455CFF-62DA-4493-A553-71BD8E860967}">
      <formula1>CodProduct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7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24"/>
  <sheetViews>
    <sheetView zoomScaleNormal="100" workbookViewId="0">
      <selection activeCell="G3" sqref="G3:I3"/>
    </sheetView>
  </sheetViews>
  <sheetFormatPr baseColWidth="10" defaultColWidth="3" defaultRowHeight="15" x14ac:dyDescent="0.25"/>
  <cols>
    <col min="5" max="5" width="11.7109375" style="28" bestFit="1" customWidth="1"/>
    <col min="6" max="6" width="17.85546875" bestFit="1" customWidth="1"/>
    <col min="7" max="7" width="10.7109375" style="28" bestFit="1" customWidth="1"/>
    <col min="8" max="18" width="6.7109375" bestFit="1" customWidth="1"/>
    <col min="19" max="20" width="6.42578125" bestFit="1" customWidth="1"/>
    <col min="21" max="29" width="5.42578125" bestFit="1" customWidth="1"/>
    <col min="30" max="33" width="6.42578125" bestFit="1" customWidth="1"/>
    <col min="34" max="45" width="6.42578125" customWidth="1"/>
  </cols>
  <sheetData>
    <row r="1" spans="5:33" x14ac:dyDescent="0.25">
      <c r="E1" s="27">
        <v>1</v>
      </c>
      <c r="F1" s="4">
        <v>2</v>
      </c>
      <c r="G1" s="27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29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31">
        <v>21</v>
      </c>
      <c r="F3" s="13" t="s">
        <v>69</v>
      </c>
      <c r="G3" s="30">
        <v>44787</v>
      </c>
      <c r="H3" s="26"/>
      <c r="I3" s="26" t="s">
        <v>49</v>
      </c>
      <c r="J3" s="26"/>
      <c r="K3" s="26"/>
      <c r="L3" s="26"/>
      <c r="M3" s="26" t="s">
        <v>85</v>
      </c>
      <c r="N3" s="26"/>
      <c r="O3" s="26"/>
      <c r="P3" s="26"/>
      <c r="Q3" s="26"/>
      <c r="R3" s="26"/>
      <c r="S3" s="26"/>
      <c r="T3" s="26"/>
      <c r="U3" s="26"/>
      <c r="V3" s="26">
        <v>1</v>
      </c>
      <c r="W3" s="26"/>
      <c r="X3" s="26"/>
      <c r="Y3" s="26"/>
      <c r="Z3" s="26">
        <v>1</v>
      </c>
      <c r="AA3" s="26"/>
      <c r="AB3" s="26"/>
      <c r="AC3" s="26"/>
      <c r="AD3" s="26"/>
      <c r="AE3" s="26"/>
      <c r="AF3" s="26"/>
      <c r="AG3" s="26"/>
    </row>
    <row r="4" spans="5:33" x14ac:dyDescent="0.25">
      <c r="E4" s="31">
        <v>20</v>
      </c>
      <c r="F4" s="13" t="s">
        <v>48</v>
      </c>
      <c r="G4" s="30">
        <v>44787</v>
      </c>
      <c r="H4" s="26"/>
      <c r="I4" s="26"/>
      <c r="J4" s="26"/>
      <c r="K4" s="26" t="s">
        <v>49</v>
      </c>
      <c r="L4" s="26"/>
      <c r="M4" s="26"/>
      <c r="N4" s="26" t="s">
        <v>49</v>
      </c>
      <c r="O4" s="26"/>
      <c r="P4" s="26"/>
      <c r="Q4" s="26"/>
      <c r="R4" s="26"/>
      <c r="S4" s="26"/>
      <c r="T4" s="26"/>
      <c r="U4" s="26"/>
      <c r="V4" s="26"/>
      <c r="W4" s="26"/>
      <c r="X4" s="26">
        <v>1</v>
      </c>
      <c r="Y4" s="26"/>
      <c r="Z4" s="26"/>
      <c r="AA4" s="26">
        <v>1</v>
      </c>
      <c r="AB4" s="26"/>
      <c r="AC4" s="26"/>
      <c r="AD4" s="26"/>
      <c r="AE4" s="26"/>
      <c r="AF4" s="26"/>
      <c r="AG4" s="26"/>
    </row>
    <row r="5" spans="5:33" x14ac:dyDescent="0.25">
      <c r="E5" s="31">
        <v>19</v>
      </c>
      <c r="F5" s="13" t="s">
        <v>48</v>
      </c>
      <c r="G5" s="30" t="s">
        <v>99</v>
      </c>
      <c r="H5" s="26"/>
      <c r="I5" s="26"/>
      <c r="J5" s="26"/>
      <c r="K5" s="26" t="s">
        <v>51</v>
      </c>
      <c r="L5" s="26"/>
      <c r="M5" s="26"/>
      <c r="N5" s="26"/>
      <c r="O5" s="26" t="s">
        <v>51</v>
      </c>
      <c r="P5" s="26"/>
      <c r="Q5" s="26"/>
      <c r="R5" s="26"/>
      <c r="S5" s="26"/>
      <c r="T5" s="26"/>
      <c r="U5" s="26"/>
      <c r="V5" s="26"/>
      <c r="W5" s="26"/>
      <c r="X5" s="26">
        <v>1</v>
      </c>
      <c r="Y5" s="26"/>
      <c r="Z5" s="26"/>
      <c r="AA5" s="26"/>
      <c r="AB5" s="26">
        <v>1</v>
      </c>
      <c r="AC5" s="26"/>
      <c r="AD5" s="26"/>
      <c r="AE5" s="26"/>
      <c r="AF5" s="26"/>
      <c r="AG5" s="26"/>
    </row>
    <row r="6" spans="5:33" x14ac:dyDescent="0.25">
      <c r="E6" s="31">
        <v>18</v>
      </c>
      <c r="F6" s="13" t="s">
        <v>48</v>
      </c>
      <c r="G6" s="30">
        <v>44787</v>
      </c>
      <c r="H6" s="26"/>
      <c r="I6" s="26"/>
      <c r="J6" s="26"/>
      <c r="K6" s="26"/>
      <c r="L6" s="26"/>
      <c r="M6" s="26" t="s">
        <v>49</v>
      </c>
      <c r="N6" s="26"/>
      <c r="O6" s="26"/>
      <c r="P6" s="26"/>
      <c r="Q6" s="26"/>
      <c r="R6" s="26" t="s">
        <v>83</v>
      </c>
      <c r="S6" s="26"/>
      <c r="T6" s="26"/>
      <c r="U6" s="26"/>
      <c r="V6" s="26"/>
      <c r="W6" s="26"/>
      <c r="X6" s="26"/>
      <c r="Y6" s="26"/>
      <c r="Z6" s="26">
        <v>1</v>
      </c>
      <c r="AA6" s="26"/>
      <c r="AB6" s="26"/>
      <c r="AC6" s="26"/>
      <c r="AD6" s="26"/>
      <c r="AE6" s="26">
        <v>3</v>
      </c>
      <c r="AF6" s="26"/>
      <c r="AG6" s="26"/>
    </row>
    <row r="7" spans="5:33" x14ac:dyDescent="0.25">
      <c r="E7" s="31">
        <v>17</v>
      </c>
      <c r="F7" s="13" t="s">
        <v>48</v>
      </c>
      <c r="G7" s="30" t="s">
        <v>99</v>
      </c>
      <c r="H7" s="26"/>
      <c r="I7" s="26"/>
      <c r="J7" s="26"/>
      <c r="K7" s="26"/>
      <c r="L7" s="26" t="s">
        <v>52</v>
      </c>
      <c r="M7" s="26"/>
      <c r="N7" s="26"/>
      <c r="O7" s="26"/>
      <c r="P7" s="26"/>
      <c r="Q7" s="26" t="s">
        <v>85</v>
      </c>
      <c r="R7" s="26"/>
      <c r="S7" s="26"/>
      <c r="T7" s="26"/>
      <c r="U7" s="26"/>
      <c r="V7" s="26"/>
      <c r="W7" s="26"/>
      <c r="X7" s="26"/>
      <c r="Y7" s="26">
        <v>1</v>
      </c>
      <c r="Z7" s="26"/>
      <c r="AA7" s="26"/>
      <c r="AB7" s="26"/>
      <c r="AC7" s="26"/>
      <c r="AD7" s="26">
        <v>1</v>
      </c>
      <c r="AE7" s="26"/>
      <c r="AF7" s="26"/>
      <c r="AG7" s="26"/>
    </row>
    <row r="8" spans="5:33" x14ac:dyDescent="0.25">
      <c r="E8" s="31">
        <v>16</v>
      </c>
      <c r="F8" s="13" t="s">
        <v>50</v>
      </c>
      <c r="G8" s="30" t="s">
        <v>99</v>
      </c>
      <c r="H8" s="26"/>
      <c r="I8" s="26"/>
      <c r="J8" s="26"/>
      <c r="K8" s="26"/>
      <c r="L8" s="26" t="s">
        <v>51</v>
      </c>
      <c r="M8" s="26"/>
      <c r="N8" s="26"/>
      <c r="O8" s="26"/>
      <c r="P8" s="26"/>
      <c r="Q8" s="26" t="s">
        <v>51</v>
      </c>
      <c r="R8" s="26"/>
      <c r="S8" s="26"/>
      <c r="T8" s="26"/>
      <c r="U8" s="26"/>
      <c r="V8" s="26"/>
      <c r="W8" s="26"/>
      <c r="X8" s="26"/>
      <c r="Y8" s="26">
        <v>1</v>
      </c>
      <c r="Z8" s="26"/>
      <c r="AA8" s="26"/>
      <c r="AB8" s="26"/>
      <c r="AC8" s="26"/>
      <c r="AD8" s="26">
        <v>1</v>
      </c>
      <c r="AE8" s="26"/>
      <c r="AF8" s="26"/>
      <c r="AG8" s="26"/>
    </row>
    <row r="9" spans="5:33" x14ac:dyDescent="0.25">
      <c r="E9" s="31">
        <v>15</v>
      </c>
      <c r="F9" s="13" t="s">
        <v>50</v>
      </c>
      <c r="G9" s="30">
        <v>44787</v>
      </c>
      <c r="H9" s="26"/>
      <c r="I9" s="26"/>
      <c r="J9" s="26"/>
      <c r="K9" s="26"/>
      <c r="L9" s="26"/>
      <c r="M9" s="26" t="s">
        <v>49</v>
      </c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1</v>
      </c>
      <c r="AA9" s="26"/>
      <c r="AB9" s="26"/>
      <c r="AC9" s="26"/>
      <c r="AD9" s="26"/>
      <c r="AE9" s="26"/>
      <c r="AF9" s="26"/>
      <c r="AG9" s="26"/>
    </row>
    <row r="10" spans="5:33" x14ac:dyDescent="0.25">
      <c r="E10" s="31">
        <v>14</v>
      </c>
      <c r="F10" s="13" t="s">
        <v>69</v>
      </c>
      <c r="G10" s="30" t="s">
        <v>99</v>
      </c>
      <c r="H10" s="26"/>
      <c r="I10" s="26"/>
      <c r="J10" s="26"/>
      <c r="K10" s="26"/>
      <c r="L10" s="26"/>
      <c r="M10" s="26" t="s">
        <v>49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>
        <v>1</v>
      </c>
      <c r="AA10" s="26"/>
      <c r="AB10" s="26"/>
      <c r="AC10" s="26"/>
      <c r="AD10" s="26"/>
      <c r="AE10" s="26"/>
      <c r="AF10" s="26"/>
      <c r="AG10" s="26"/>
    </row>
    <row r="11" spans="5:33" x14ac:dyDescent="0.25">
      <c r="E11" s="31">
        <v>13</v>
      </c>
      <c r="F11" s="13" t="s">
        <v>50</v>
      </c>
      <c r="G11" s="30">
        <v>44787</v>
      </c>
      <c r="H11" s="26"/>
      <c r="I11" s="26"/>
      <c r="J11" s="26" t="s">
        <v>52</v>
      </c>
      <c r="K11" s="26"/>
      <c r="L11" s="26"/>
      <c r="M11" s="26" t="s">
        <v>52</v>
      </c>
      <c r="N11" s="26"/>
      <c r="O11" s="26"/>
      <c r="P11" s="26"/>
      <c r="Q11" s="26"/>
      <c r="R11" s="26"/>
      <c r="S11" s="26"/>
      <c r="T11" s="26"/>
      <c r="U11" s="26"/>
      <c r="V11" s="26"/>
      <c r="W11" s="26">
        <v>1</v>
      </c>
      <c r="X11" s="26"/>
      <c r="Y11" s="26"/>
      <c r="Z11" s="26">
        <v>1</v>
      </c>
      <c r="AA11" s="26"/>
      <c r="AB11" s="26"/>
      <c r="AC11" s="26"/>
      <c r="AD11" s="26"/>
      <c r="AE11" s="26"/>
      <c r="AF11" s="26"/>
      <c r="AG11" s="26"/>
    </row>
    <row r="12" spans="5:33" x14ac:dyDescent="0.25">
      <c r="E12" s="31">
        <v>12</v>
      </c>
      <c r="F12" s="13" t="s">
        <v>48</v>
      </c>
      <c r="G12" s="30">
        <v>44787</v>
      </c>
      <c r="H12" s="26" t="s">
        <v>53</v>
      </c>
      <c r="I12" s="26"/>
      <c r="J12" s="26"/>
      <c r="K12" s="26"/>
      <c r="L12" s="26"/>
      <c r="M12" s="26" t="s">
        <v>49</v>
      </c>
      <c r="N12" s="26"/>
      <c r="O12" s="26"/>
      <c r="P12" s="26"/>
      <c r="Q12" s="26"/>
      <c r="R12" s="26"/>
      <c r="S12" s="26"/>
      <c r="T12" s="26"/>
      <c r="U12" s="26">
        <v>1</v>
      </c>
      <c r="V12" s="26"/>
      <c r="W12" s="26"/>
      <c r="X12" s="26"/>
      <c r="Y12" s="26"/>
      <c r="Z12" s="26">
        <v>1</v>
      </c>
      <c r="AA12" s="26"/>
      <c r="AB12" s="26"/>
      <c r="AC12" s="26"/>
      <c r="AD12" s="26"/>
      <c r="AE12" s="26"/>
      <c r="AF12" s="26"/>
      <c r="AG12" s="26"/>
    </row>
    <row r="13" spans="5:33" x14ac:dyDescent="0.25">
      <c r="E13" s="31">
        <v>11</v>
      </c>
      <c r="F13" s="13" t="s">
        <v>50</v>
      </c>
      <c r="G13" s="30" t="s">
        <v>99</v>
      </c>
      <c r="H13" s="26"/>
      <c r="I13" s="26"/>
      <c r="J13" s="26"/>
      <c r="K13" s="26"/>
      <c r="L13" s="26" t="s">
        <v>52</v>
      </c>
      <c r="M13" s="26"/>
      <c r="N13" s="26"/>
      <c r="O13" s="26" t="s">
        <v>83</v>
      </c>
      <c r="P13" s="26"/>
      <c r="Q13" s="26"/>
      <c r="R13" s="26"/>
      <c r="S13" s="26"/>
      <c r="T13" s="26"/>
      <c r="U13" s="26"/>
      <c r="V13" s="26"/>
      <c r="W13" s="26"/>
      <c r="X13" s="26"/>
      <c r="Y13" s="26">
        <v>1</v>
      </c>
      <c r="Z13" s="26"/>
      <c r="AA13" s="26"/>
      <c r="AB13" s="26">
        <v>1</v>
      </c>
      <c r="AC13" s="26"/>
      <c r="AD13" s="26"/>
      <c r="AE13" s="26"/>
      <c r="AF13" s="26"/>
      <c r="AG13" s="26"/>
    </row>
    <row r="14" spans="5:33" x14ac:dyDescent="0.25">
      <c r="E14" s="31">
        <v>10</v>
      </c>
      <c r="F14" s="13" t="s">
        <v>76</v>
      </c>
      <c r="G14" s="30">
        <v>44786</v>
      </c>
      <c r="H14" s="26"/>
      <c r="I14" s="26"/>
      <c r="J14" s="26"/>
      <c r="K14" s="26"/>
      <c r="L14" s="26"/>
      <c r="M14" s="26"/>
      <c r="N14" s="26" t="s">
        <v>51</v>
      </c>
      <c r="O14" s="26" t="s">
        <v>52</v>
      </c>
      <c r="P14" s="26" t="s">
        <v>53</v>
      </c>
      <c r="Q14" s="26" t="s">
        <v>54</v>
      </c>
      <c r="R14" s="26" t="s">
        <v>55</v>
      </c>
      <c r="S14" s="26"/>
      <c r="T14" s="26"/>
      <c r="U14" s="26"/>
      <c r="V14" s="26"/>
      <c r="W14" s="26"/>
      <c r="X14" s="26"/>
      <c r="Y14" s="26"/>
      <c r="Z14" s="26"/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/>
      <c r="AG14" s="26"/>
    </row>
    <row r="15" spans="5:33" x14ac:dyDescent="0.25">
      <c r="E15" s="31">
        <v>9</v>
      </c>
      <c r="F15" s="13" t="s">
        <v>48</v>
      </c>
      <c r="G15" s="30">
        <v>44786</v>
      </c>
      <c r="H15" s="26"/>
      <c r="I15" s="26"/>
      <c r="J15" s="26"/>
      <c r="K15" s="26"/>
      <c r="L15" s="26"/>
      <c r="M15" s="26"/>
      <c r="N15" s="26" t="s">
        <v>49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>
        <v>1</v>
      </c>
      <c r="AB15" s="26"/>
      <c r="AC15" s="26"/>
      <c r="AD15" s="26"/>
      <c r="AE15" s="26"/>
      <c r="AF15" s="26"/>
      <c r="AG15" s="26"/>
    </row>
    <row r="16" spans="5:33" x14ac:dyDescent="0.25">
      <c r="E16" s="31">
        <v>8</v>
      </c>
      <c r="F16" s="13" t="s">
        <v>50</v>
      </c>
      <c r="G16" s="30">
        <v>44786</v>
      </c>
      <c r="H16" s="26"/>
      <c r="I16" s="26"/>
      <c r="J16" s="26"/>
      <c r="K16" s="26"/>
      <c r="L16" s="26"/>
      <c r="M16" s="26"/>
      <c r="N16" s="26" t="s">
        <v>51</v>
      </c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>
        <v>1</v>
      </c>
      <c r="AB16" s="26"/>
      <c r="AC16" s="26"/>
      <c r="AD16" s="26"/>
      <c r="AE16" s="26"/>
      <c r="AF16" s="26"/>
      <c r="AG16" s="26"/>
    </row>
    <row r="17" spans="5:33" x14ac:dyDescent="0.25">
      <c r="E17" s="31">
        <v>7</v>
      </c>
      <c r="F17" s="13" t="s">
        <v>48</v>
      </c>
      <c r="G17" s="30" t="s">
        <v>99</v>
      </c>
      <c r="H17" s="26"/>
      <c r="I17" s="26"/>
      <c r="J17" s="26"/>
      <c r="K17" s="26" t="s">
        <v>49</v>
      </c>
      <c r="L17" s="26"/>
      <c r="M17" s="26"/>
      <c r="N17" s="26" t="s">
        <v>52</v>
      </c>
      <c r="O17" s="26"/>
      <c r="P17" s="26"/>
      <c r="Q17" s="26"/>
      <c r="R17" s="26"/>
      <c r="S17" s="26"/>
      <c r="T17" s="26"/>
      <c r="U17" s="26"/>
      <c r="V17" s="26"/>
      <c r="W17" s="26"/>
      <c r="X17" s="26">
        <v>1</v>
      </c>
      <c r="Y17" s="26"/>
      <c r="Z17" s="26"/>
      <c r="AA17" s="26">
        <v>1</v>
      </c>
      <c r="AB17" s="26"/>
      <c r="AC17" s="26"/>
      <c r="AD17" s="26"/>
      <c r="AE17" s="26"/>
      <c r="AF17" s="26"/>
      <c r="AG17" s="26"/>
    </row>
    <row r="18" spans="5:33" x14ac:dyDescent="0.25">
      <c r="E18" s="31">
        <v>6</v>
      </c>
      <c r="F18" s="13" t="s">
        <v>69</v>
      </c>
      <c r="G18" s="30">
        <v>44786</v>
      </c>
      <c r="H18" s="26"/>
      <c r="I18" s="26"/>
      <c r="J18" s="26"/>
      <c r="K18" s="26"/>
      <c r="L18" s="26"/>
      <c r="M18" s="26" t="s">
        <v>51</v>
      </c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>
        <v>1</v>
      </c>
      <c r="AA18" s="26"/>
      <c r="AB18" s="26"/>
      <c r="AC18" s="26"/>
      <c r="AD18" s="26"/>
      <c r="AE18" s="26"/>
      <c r="AF18" s="26"/>
      <c r="AG18" s="26"/>
    </row>
    <row r="19" spans="5:33" x14ac:dyDescent="0.25">
      <c r="E19" s="31">
        <v>5</v>
      </c>
      <c r="F19" s="13" t="s">
        <v>66</v>
      </c>
      <c r="G19" s="30">
        <v>44786</v>
      </c>
      <c r="H19" s="26" t="s">
        <v>49</v>
      </c>
      <c r="I19" s="26"/>
      <c r="J19" s="26" t="s">
        <v>49</v>
      </c>
      <c r="K19" s="26"/>
      <c r="L19" s="26" t="s">
        <v>51</v>
      </c>
      <c r="M19" s="26"/>
      <c r="N19" s="26"/>
      <c r="O19" s="26"/>
      <c r="P19" s="26" t="s">
        <v>85</v>
      </c>
      <c r="Q19" s="26"/>
      <c r="R19" s="26"/>
      <c r="S19" s="26"/>
      <c r="T19" s="26"/>
      <c r="U19" s="26">
        <v>1</v>
      </c>
      <c r="V19" s="26"/>
      <c r="W19" s="26">
        <v>1</v>
      </c>
      <c r="X19" s="26"/>
      <c r="Y19" s="26">
        <v>1</v>
      </c>
      <c r="Z19" s="26"/>
      <c r="AA19" s="26"/>
      <c r="AB19" s="26"/>
      <c r="AC19" s="26">
        <v>1</v>
      </c>
      <c r="AD19" s="26"/>
      <c r="AE19" s="26"/>
      <c r="AF19" s="26"/>
      <c r="AG19" s="26"/>
    </row>
    <row r="20" spans="5:33" x14ac:dyDescent="0.25">
      <c r="E20" s="31">
        <v>4</v>
      </c>
      <c r="F20" s="13" t="s">
        <v>69</v>
      </c>
      <c r="G20" s="30">
        <v>44786</v>
      </c>
      <c r="H20" s="26"/>
      <c r="I20" s="26"/>
      <c r="J20" s="26"/>
      <c r="K20" s="26"/>
      <c r="L20" s="26"/>
      <c r="M20" s="26"/>
      <c r="N20" s="26"/>
      <c r="O20" s="26" t="s">
        <v>51</v>
      </c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>
        <v>1</v>
      </c>
      <c r="AC20" s="26"/>
      <c r="AD20" s="26"/>
      <c r="AE20" s="26"/>
      <c r="AF20" s="26"/>
      <c r="AG20" s="26"/>
    </row>
    <row r="21" spans="5:33" x14ac:dyDescent="0.25">
      <c r="E21" s="31">
        <v>3</v>
      </c>
      <c r="F21" s="13" t="s">
        <v>48</v>
      </c>
      <c r="G21" s="30">
        <v>44786</v>
      </c>
      <c r="H21" s="26"/>
      <c r="I21" s="26"/>
      <c r="J21" s="26"/>
      <c r="K21" s="26"/>
      <c r="L21" s="26"/>
      <c r="M21" s="26"/>
      <c r="N21" s="26"/>
      <c r="O21" s="26" t="s">
        <v>49</v>
      </c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>
        <v>1</v>
      </c>
      <c r="AC21" s="26"/>
      <c r="AD21" s="26"/>
      <c r="AE21" s="26"/>
      <c r="AF21" s="26"/>
      <c r="AG21" s="26"/>
    </row>
    <row r="22" spans="5:33" x14ac:dyDescent="0.25">
      <c r="E22" s="31">
        <v>2</v>
      </c>
      <c r="F22" s="13" t="s">
        <v>79</v>
      </c>
      <c r="G22" s="30">
        <v>44786</v>
      </c>
      <c r="H22" s="26"/>
      <c r="I22" s="26"/>
      <c r="J22" s="26"/>
      <c r="K22" s="26"/>
      <c r="L22" s="26"/>
      <c r="M22" s="26" t="s">
        <v>52</v>
      </c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>
        <v>1</v>
      </c>
      <c r="AA22" s="26"/>
      <c r="AB22" s="26"/>
      <c r="AC22" s="26"/>
      <c r="AD22" s="26"/>
      <c r="AE22" s="26"/>
      <c r="AF22" s="26"/>
      <c r="AG22" s="26"/>
    </row>
    <row r="23" spans="5:33" x14ac:dyDescent="0.25">
      <c r="E23" s="31">
        <v>1</v>
      </c>
      <c r="F23" s="13"/>
      <c r="G23" s="30" t="s">
        <v>99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5:33" x14ac:dyDescent="0.25">
      <c r="E24" s="31">
        <v>0</v>
      </c>
      <c r="F24" s="13" t="s">
        <v>50</v>
      </c>
      <c r="G24" s="30" t="s">
        <v>99</v>
      </c>
      <c r="H24" s="26"/>
      <c r="I24" s="26"/>
      <c r="J24" s="26"/>
      <c r="K24" s="26" t="s">
        <v>85</v>
      </c>
      <c r="L24" s="26"/>
      <c r="M24" s="26"/>
      <c r="N24" s="26"/>
      <c r="O24" s="26"/>
      <c r="P24" s="26" t="s">
        <v>85</v>
      </c>
      <c r="Q24" s="26"/>
      <c r="R24" s="26"/>
      <c r="S24" s="26"/>
      <c r="T24" s="26"/>
      <c r="U24" s="26"/>
      <c r="V24" s="26"/>
      <c r="W24" s="26"/>
      <c r="X24" s="26">
        <v>1</v>
      </c>
      <c r="Y24" s="26"/>
      <c r="Z24" s="26"/>
      <c r="AA24" s="26"/>
      <c r="AB24" s="26"/>
      <c r="AC24" s="26"/>
      <c r="AD24" s="26"/>
      <c r="AE24" s="26"/>
      <c r="AF24" s="26"/>
      <c r="AG24" s="26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B4" sqref="B4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CODIGOS</vt:lpstr>
      <vt:lpstr>CodProduct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2022-08-14T17:12:11Z</dcterms:modified>
  <cp:category/>
  <cp:contentStatus/>
</cp:coreProperties>
</file>
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65" documentId="13_ncr:1_{C374DD79-F7C2-4689-94F5-64120680C989}" xr6:coauthVersionLast="47" xr6:coauthVersionMax="47" xr10:uidLastSave="{AFA02E1E-39D4-4F6B-A15F-237397CC5325}"/>
  <bookViews>
    <workbookView xWindow="-120" yWindow="-120" windowWidth="29040" windowHeight="16440" xr2:uid="{E7BCC358-6F38-4867-B30C-32EEB422F7F0}"/>
  </bookViews>
  <sheets>
    <sheet name="NUEVA" sheetId="2" r:id="rId1"/>
    <sheet name="BUSQUEDA" sheetId="10" state="hidden" r:id="rId2"/>
    <sheet name="FACTURAS" sheetId="8" r:id="rId3"/>
    <sheet name="EMPLEADOS" sheetId="4" r:id="rId4"/>
    <sheet name="PRODUCTOS" sheetId="3" r:id="rId5"/>
  </sheets>
  <definedNames>
    <definedName name="_xlnm._FilterDatabase" localSheetId="1" hidden="1">BUSQUEDA!$D$15:$T$27</definedName>
    <definedName name="_xlnm._FilterDatabase" localSheetId="2" hidden="1">FACTURAS!$E$3:$E$14</definedName>
    <definedName name="_xlnm._FilterDatabase" localSheetId="0" hidden="1">NUEVA!$D$15:$T$27</definedName>
    <definedName name="Cod_Product">FACTURAS!$E$3:$E$14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0" i="2" l="1"/>
  <c r="D21" i="2"/>
  <c r="A27" i="10"/>
  <c r="U27" i="10" s="1"/>
  <c r="A26" i="10"/>
  <c r="U26" i="10" s="1"/>
  <c r="A25" i="10"/>
  <c r="U25" i="10" s="1"/>
  <c r="A24" i="10"/>
  <c r="U24" i="10" s="1"/>
  <c r="A23" i="10"/>
  <c r="U23" i="10" s="1"/>
  <c r="A22" i="10"/>
  <c r="U22" i="10" s="1"/>
  <c r="A21" i="10"/>
  <c r="D21" i="10" s="1"/>
  <c r="A20" i="10"/>
  <c r="U20" i="10" s="1"/>
  <c r="A19" i="10"/>
  <c r="U19" i="10" s="1"/>
  <c r="A18" i="10"/>
  <c r="U18" i="10" s="1"/>
  <c r="A17" i="10"/>
  <c r="D17" i="10" s="1"/>
  <c r="A16" i="10"/>
  <c r="U16" i="10" s="1"/>
  <c r="A15" i="10"/>
  <c r="U15" i="10" s="1"/>
  <c r="P9" i="10"/>
  <c r="P10" i="10" s="1"/>
  <c r="P11" i="10" s="1"/>
  <c r="P12" i="10" s="1"/>
  <c r="AP13" i="10"/>
  <c r="X16" i="2"/>
  <c r="AD16" i="2" s="1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6" i="2"/>
  <c r="AD26" i="2" s="1"/>
  <c r="X27" i="2"/>
  <c r="AD27" i="2" s="1"/>
  <c r="X15" i="2"/>
  <c r="AD15" i="2" s="1"/>
  <c r="P10" i="2"/>
  <c r="P11" i="2" s="1"/>
  <c r="P12" i="2" s="1"/>
  <c r="D27" i="2"/>
  <c r="D16" i="2"/>
  <c r="D17" i="2"/>
  <c r="D18" i="2"/>
  <c r="D19" i="2"/>
  <c r="D22" i="2"/>
  <c r="D23" i="2"/>
  <c r="D24" i="2"/>
  <c r="D25" i="2"/>
  <c r="D26" i="2"/>
  <c r="D15" i="2"/>
  <c r="AK2" i="10"/>
  <c r="AK2" i="2"/>
  <c r="D25" i="10" l="1"/>
  <c r="U17" i="10"/>
  <c r="X17" i="10" s="1"/>
  <c r="AD17" i="10" s="1"/>
  <c r="U21" i="10"/>
  <c r="X21" i="10"/>
  <c r="AD21" i="10" s="1"/>
  <c r="X25" i="10"/>
  <c r="AD25" i="10" s="1"/>
  <c r="X26" i="10"/>
  <c r="AD26" i="10" s="1"/>
  <c r="X22" i="10"/>
  <c r="AD22" i="10" s="1"/>
  <c r="X18" i="10"/>
  <c r="AD18" i="10" s="1"/>
  <c r="D27" i="10"/>
  <c r="D24" i="10"/>
  <c r="X20" i="10"/>
  <c r="AD20" i="10" s="1"/>
  <c r="X16" i="10"/>
  <c r="AD16" i="10" s="1"/>
  <c r="D19" i="10"/>
  <c r="D16" i="10"/>
  <c r="D23" i="10"/>
  <c r="X15" i="10"/>
  <c r="AD15" i="10" s="1"/>
  <c r="D15" i="10"/>
  <c r="D20" i="10"/>
  <c r="X24" i="10"/>
  <c r="AD24" i="10" s="1"/>
  <c r="D26" i="10"/>
  <c r="D22" i="10"/>
  <c r="D18" i="10"/>
  <c r="X27" i="10"/>
  <c r="AD27" i="10" s="1"/>
  <c r="X23" i="10"/>
  <c r="AD23" i="10" s="1"/>
  <c r="X19" i="10"/>
  <c r="AD19" i="10" s="1"/>
  <c r="AD28" i="2"/>
  <c r="AD29" i="2"/>
  <c r="AD30" i="2" l="1"/>
  <c r="AD31" i="2" s="1"/>
  <c r="AD29" i="10"/>
  <c r="AD28" i="10" l="1"/>
  <c r="AD30" i="10" s="1"/>
  <c r="AD3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<sst xmlns="http://schemas.openxmlformats.org/spreadsheetml/2006/main" count="151" uniqueCount="99">
  <si>
    <t>FECHA</t>
  </si>
  <si>
    <t>SERVICIO NACIONAL DE APRENDIZAJE SENA</t>
  </si>
  <si>
    <t>No Factura</t>
  </si>
  <si>
    <t>CONTROL DE ENTRADA Y SALIDA</t>
  </si>
  <si>
    <t xml:space="preserve"> </t>
  </si>
  <si>
    <t>NOMBRE DEL EMPLEADO:</t>
  </si>
  <si>
    <t>DOCUMENTO:</t>
  </si>
  <si>
    <t xml:space="preserve">  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</si>
  <si>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</si>
  <si>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</si>
  <si>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</si>
  <si>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</si>
  <si>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</si>
  <si>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</si>
  <si>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</si>
  <si>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TOTAL VALOR BRUTO</t>
  </si>
  <si>
    <t>VALOR IVA</t>
  </si>
  <si>
    <t>VALOR NETO</t>
  </si>
  <si>
    <t>VALOR CON DESCUENTO</t>
  </si>
  <si>
    <t>Codigo</t>
  </si>
  <si>
    <t>Nombre</t>
  </si>
  <si>
    <t>Fecha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</si>
  <si>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</si>
  <si>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</si>
  <si>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</si>
  <si>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</si>
  <si>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</si>
  <si>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</si>
  <si>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</si>
  <si>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</si>
  <si>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</si>
  <si>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</si>
  <si>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</si>
  <si>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</si>
  <si>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</si>
  <si>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</si>
  <si>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</si>
  <si>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</si>
  <si>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</si>
  <si>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</si>
  <si>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</si>
  <si>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</si>
  <si>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</si>
  <si>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</si>
  <si>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</si>
  <si>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</si>
  <si>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</si>
  <si>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</si>
  <si>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Alexander Mendez</t>
  </si>
  <si>
    <t>AN103</t>
  </si>
  <si>
    <t>Sandra Quiñones</t>
  </si>
  <si>
    <t>AN104</t>
  </si>
  <si>
    <t>AN105</t>
  </si>
  <si>
    <t>AN106</t>
  </si>
  <si>
    <t>AN107</t>
  </si>
  <si>
    <t>AN108</t>
  </si>
  <si>
    <t>AN109</t>
  </si>
  <si>
    <t>AN110</t>
  </si>
  <si>
    <t>AN111</t>
  </si>
  <si>
    <t>AN112</t>
  </si>
  <si>
    <t>AN113</t>
  </si>
  <si>
    <t>AN114</t>
  </si>
  <si>
    <t>AN115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</si>
  <si>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</si>
  <si>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</si>
  <si>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</si>
  <si>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</si>
  <si>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</si>
  <si>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</si>
  <si>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</si>
  <si>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</si>
  <si>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</si>
  <si>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Resgistro</t>
  </si>
  <si>
    <t>Transversal 5 # 44-5</t>
  </si>
  <si>
    <t>Psicologia</t>
  </si>
  <si>
    <t>Calle 1 a # 54-2</t>
  </si>
  <si>
    <t>Johan Gomez</t>
  </si>
  <si>
    <t>Mantenimiento</t>
  </si>
  <si>
    <t>Carrera 16A # 45- 3</t>
  </si>
  <si>
    <t>Daniel Ramirez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</si>
  <si>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</si>
  <si>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</si>
  <si>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</si>
  <si>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</si>
  <si>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</si>
  <si>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AN102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</si>
  <si>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</si>
  <si>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</si>
  <si>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</si>
  <si>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</si>
  <si>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</si>
  <si>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LAPTOP ASUS 16RAM I 5</t>
  </si>
  <si>
    <t>CAMARA INFRARROJA</t>
  </si>
  <si>
    <t>TELEVISOR SAMSUMG 30"</t>
  </si>
  <si>
    <t xml:space="preserve">MEMORIA RAM 8GB APPDATA </t>
  </si>
  <si>
    <t>TECLADO RED DRAGON VEGINER</t>
  </si>
  <si>
    <t xml:space="preserve">PROYECTOR </t>
  </si>
  <si>
    <t>MONITOR JANUS 23 " IPS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</si>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</sst>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7" xfId="2" applyFont="1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3" xfId="0" applyBorder="1"/>
    <xf numFmtId="2" fontId="0" fillId="0" borderId="0" xfId="0" applyNumberFormat="1"/>
    <xf numFmtId="0" fontId="0" fillId="0" borderId="10" xfId="0" applyBorder="1"/>
    <xf numFmtId="0" fontId="0" fillId="0" borderId="17" xfId="0" applyBorder="1"/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0" fontId="0" fillId="0" borderId="20" xfId="0" applyBorder="1"/>
    <xf numFmtId="0" fontId="0" fillId="0" borderId="21" xfId="0" applyBorder="1"/>
    <xf numFmtId="9" fontId="0" fillId="0" borderId="20" xfId="2" applyFont="1" applyBorder="1"/>
    <xf numFmtId="44" fontId="0" fillId="0" borderId="20" xfId="1" applyFont="1" applyBorder="1" applyAlignment="1"/>
    <xf numFmtId="166" fontId="0" fillId="3" borderId="16" xfId="0" applyNumberFormat="1" applyFill="1" applyBorder="1"/>
    <xf numFmtId="165" fontId="0" fillId="0" borderId="17" xfId="0" applyNumberFormat="1" applyBorder="1"/>
    <xf numFmtId="0" fontId="0" fillId="0" borderId="15" xfId="0" applyBorder="1" applyAlignment="1">
      <alignment horizontal="center" vertical="center"/>
    </xf>
    <xf numFmtId="164" fontId="0" fillId="0" borderId="7" xfId="1" applyNumberFormat="1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7" xfId="0" applyBorder="1" applyAlignment="1"/>
    <xf numFmtId="49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5" formatCode="dd\-mm\-yy;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ABC - &quot;0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224117</xdr:colOff>
      <xdr:row>33</xdr:row>
      <xdr:rowOff>67234</xdr:rowOff>
    </xdr:from>
    <xdr:to>
      <xdr:col>5</xdr:col>
      <xdr:colOff>302559</xdr:colOff>
      <xdr:row>35</xdr:row>
      <xdr:rowOff>112057</xdr:rowOff>
    </xdr:to>
    <xdr:sp macro="[0]!Módulo1.Buton_New_search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0A12B9E-482F-A5CE-7945-140785E9E1AF}"/>
            </a:ext>
          </a:extLst>
        </xdr:cNvPr>
        <xdr:cNvSpPr/>
      </xdr:nvSpPr>
      <xdr:spPr>
        <a:xfrm>
          <a:off x="515470" y="6331322"/>
          <a:ext cx="1176618" cy="425823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r>
            <a:rPr lang="es-CO" sz="1100" baseline="0"/>
            <a:t> factura</a:t>
          </a:r>
          <a:endParaRPr lang="es-CO" sz="1100"/>
        </a:p>
      </xdr:txBody>
    </xdr:sp>
    <xdr:clientData/>
  </xdr:twoCellAnchor>
  <xdr:twoCellAnchor>
    <xdr:from>
      <xdr:col>6</xdr:col>
      <xdr:colOff>29136</xdr:colOff>
      <xdr:row>33</xdr:row>
      <xdr:rowOff>67234</xdr:rowOff>
    </xdr:from>
    <xdr:to>
      <xdr:col>10</xdr:col>
      <xdr:colOff>179292</xdr:colOff>
      <xdr:row>35</xdr:row>
      <xdr:rowOff>100852</xdr:rowOff>
    </xdr:to>
    <xdr:sp macro="[0]!Módulo1.Fac_Clean_search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B48BA80-BD91-477A-871E-68D31F90E7B2}"/>
            </a:ext>
          </a:extLst>
        </xdr:cNvPr>
        <xdr:cNvSpPr/>
      </xdr:nvSpPr>
      <xdr:spPr>
        <a:xfrm>
          <a:off x="2091018" y="6331322"/>
          <a:ext cx="1169892" cy="41461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D457BA-9725-4E16-BBBC-4B55AB6B05BA}" name="m_facturas" displayName="m_facturas" ref="E2:AG14" totalsRowShown="0" headerRowDxfId="47" dataDxfId="46" tableBorderDxfId="45">
  <autoFilter ref="E2:AG14" xr:uid="{0CD457BA-9725-4E16-BBBC-4B55AB6B05BA}"/>
  <sortState xmlns:xlrd2="http://schemas.microsoft.com/office/spreadsheetml/2017/richdata2" ref="E3:AG14">
    <sortCondition descending="1" ref="E2:E14"/>
  </sortState>
  <tableColumns count="29">
    <tableColumn id="1" xr3:uid="{2758B41C-AD6D-484B-9CF2-65043F3ECE6D}" name="Codigo" dataDxfId="44"/>
    <tableColumn id="2" xr3:uid="{13570AA3-3767-4A8A-AB61-A86BC5A0CF9F}" name="Nombre" dataDxfId="43"/>
    <tableColumn id="3" xr3:uid="{31599A85-3F38-4331-BF76-DC7AF823E639}" name="Fecha" dataDxfId="42"/>
    <tableColumn id="4" xr3:uid="{63F3D3A9-954F-49FA-8D0C-75B89814921A}" name="P1" dataDxfId="41"/>
    <tableColumn id="5" xr3:uid="{253A7E44-E276-4DCC-9CB7-C12C83AD7B77}" name="P2" dataDxfId="40"/>
    <tableColumn id="6" xr3:uid="{3A897877-02D4-48AF-8B4A-B0628AE80C03}" name="P3" dataDxfId="39"/>
    <tableColumn id="7" xr3:uid="{1E58080E-92C3-453E-89B5-8DA5EC100B4E}" name="P4" dataDxfId="38"/>
    <tableColumn id="8" xr3:uid="{9A233194-BC01-4F1C-8578-390E1262BDFF}" name="P5" dataDxfId="37"/>
    <tableColumn id="9" xr3:uid="{63030658-4C40-4275-A31A-245CA50B8B40}" name="P6" dataDxfId="36"/>
    <tableColumn id="10" xr3:uid="{ADFA1B8F-DE17-404F-B137-588492CC6EBF}" name="P7" dataDxfId="35"/>
    <tableColumn id="11" xr3:uid="{62BC319F-60B7-46EE-ABEF-63694065D824}" name="P8" dataDxfId="34"/>
    <tableColumn id="12" xr3:uid="{51DC393C-EAFB-43C5-82AD-7CC6E23F43BF}" name="P9" dataDxfId="33"/>
    <tableColumn id="13" xr3:uid="{86CF2A84-E556-4C97-8B88-3BF00CAC2CBB}" name="P10" dataDxfId="32"/>
    <tableColumn id="14" xr3:uid="{C5A9D79A-514E-4692-A4F6-C3489A778B42}" name="P11" dataDxfId="31"/>
    <tableColumn id="15" xr3:uid="{8487EB4E-7427-44C0-9586-5CE8F0C64F8D}" name="P12" dataDxfId="30"/>
    <tableColumn id="16" xr3:uid="{2BBFF452-1B8A-4B79-97C7-0313B25B47F5}" name="P13" dataDxfId="29"/>
    <tableColumn id="17" xr3:uid="{76358234-A9BE-4989-BC0E-316B657C95DA}" name="C1" dataDxfId="28"/>
    <tableColumn id="18" xr3:uid="{70DF4EAC-2EEE-4439-B1FB-980609952888}" name="C2" dataDxfId="27"/>
    <tableColumn id="19" xr3:uid="{5FE18B10-D5C3-4057-8850-423D3BB8174C}" name="C3" dataDxfId="26"/>
    <tableColumn id="20" xr3:uid="{D1A4D23F-1225-407C-8AFD-D83CA8AEB251}" name="C4" dataDxfId="25"/>
    <tableColumn id="21" xr3:uid="{C6D2EF3B-A64B-4C1A-B9D3-45945893A9B1}" name="C5" dataDxfId="24"/>
    <tableColumn id="22" xr3:uid="{B2845141-7F62-40DD-A8A9-395B0B3791A6}" name="C6" dataDxfId="23"/>
    <tableColumn id="23" xr3:uid="{1967C0F9-1A44-4A55-A3AD-6E6C61106A4E}" name="C7" dataDxfId="22"/>
    <tableColumn id="24" xr3:uid="{F3A37900-F3E4-4181-80A2-4AB824186AD5}" name="C8" dataDxfId="21"/>
    <tableColumn id="25" xr3:uid="{1FDA1FC6-E20D-4D90-8910-933F7B406AEC}" name="C9" dataDxfId="20"/>
    <tableColumn id="26" xr3:uid="{CDBE63E6-874E-440C-868E-316F129733E2}" name="C10" dataDxfId="19"/>
    <tableColumn id="27" xr3:uid="{C93EBA11-F287-4BDE-832E-8BC47D060B51}" name="C11" dataDxfId="18"/>
    <tableColumn id="28" xr3:uid="{4A60DCC4-51B0-415E-A68C-022C1D0A7DEA}" name="C12" dataDxfId="17"/>
    <tableColumn id="29" xr3:uid="{3F94D450-B251-49FA-9DAC-0C7A33D766F1}" name="C13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7CEA5-A85A-4374-915F-AADFBFE4FC2F}" name="M_Empleados" displayName="M_Empleados" ref="B4:E10" totalsRowShown="0" headerRowDxfId="15" headerRowBorderDxfId="14" tableBorderDxfId="13" totalsRowBorderDxfId="12">
  <autoFilter ref="B4:E10" xr:uid="{A3A7CEA5-A85A-4374-915F-AADFBFE4FC2F}"/>
  <tableColumns count="4">
    <tableColumn id="1" xr3:uid="{6957116F-F781-40F2-B6B4-E6517ECA373E}" name="Nombre" dataDxfId="11"/>
    <tableColumn id="2" xr3:uid="{DDB207B9-02A1-4AB6-9BFD-AB7B064F448C}" name="Cedula" dataDxfId="10"/>
    <tableColumn id="3" xr3:uid="{511191B9-1398-4F43-8FD2-F71AE1F513E3}" name="Departamento" dataDxfId="9"/>
    <tableColumn id="4" xr3:uid="{BEBA518B-EFCA-4F09-ADB6-4F119C4C4C13}" name="Direccion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E5274-78CC-495D-8DDA-FED43DFA067B}" name="M_Productos" displayName="M_Productos" ref="B4:E19" totalsRowShown="0" headerRowDxfId="7" headerRowBorderDxfId="6" tableBorderDxfId="5" totalsRowBorderDxfId="4">
  <autoFilter ref="B4:E19" xr:uid="{1B4E5274-78CC-495D-8DDA-FED43DFA067B}"/>
  <tableColumns count="4">
    <tableColumn id="1" xr3:uid="{8048EA71-AA96-47CB-B0F2-94129787A1C1}" name="CODIGO" dataDxfId="3"/>
    <tableColumn id="2" xr3:uid="{4262B29F-972D-435C-B0B7-337C854BA530}" name="NOMBRE DEL PRODUCTO " dataDxfId="2"/>
    <tableColumn id="3" xr3:uid="{8EFFFDD8-90A3-46A3-81C7-9110603BECC1}" name="VR. IVA" dataDxfId="1" dataCellStyle="Porcentaje"/>
    <tableColumn id="4" xr3:uid="{2707E3CF-3F0D-44A5-ACF1-5AB3288BA46D}" name="VALOR 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zoomScale="85" zoomScaleNormal="85" workbookViewId="0">
      <selection activeCell="P9" sqref="P9:Z9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39"/>
      <c r="B1" s="40"/>
      <c r="C1" s="40"/>
      <c r="D1" s="40"/>
      <c r="E1" s="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40" t="s">
        <v>0</v>
      </c>
      <c r="AL1" s="40"/>
      <c r="AM1" s="40"/>
      <c r="AN1" s="10"/>
    </row>
    <row r="2" spans="1:42" x14ac:dyDescent="0.25">
      <c r="A2" s="41"/>
      <c r="B2" s="42"/>
      <c r="C2" s="42"/>
      <c r="D2" s="42"/>
      <c r="E2" s="42"/>
      <c r="AK2" s="44">
        <f ca="1">TODAY()</f>
        <v>44786</v>
      </c>
      <c r="AL2" s="44"/>
      <c r="AM2" s="44"/>
      <c r="AN2" s="9"/>
    </row>
    <row r="3" spans="1:42" x14ac:dyDescent="0.25">
      <c r="A3" s="41"/>
      <c r="B3" s="42"/>
      <c r="C3" s="42"/>
      <c r="D3" s="42"/>
      <c r="E3" s="42"/>
      <c r="O3" s="47" t="s">
        <v>1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N3" s="3"/>
    </row>
    <row r="4" spans="1:42" x14ac:dyDescent="0.25">
      <c r="A4" s="41"/>
      <c r="B4" s="42"/>
      <c r="C4" s="42"/>
      <c r="D4" s="42"/>
      <c r="E4" s="42"/>
      <c r="AK4" s="42" t="s">
        <v>2</v>
      </c>
      <c r="AL4" s="42"/>
      <c r="AM4" s="42"/>
      <c r="AN4" s="3"/>
    </row>
    <row r="5" spans="1:42" ht="15" customHeight="1" x14ac:dyDescent="0.25">
      <c r="A5" s="41"/>
      <c r="B5" s="42"/>
      <c r="C5" s="42"/>
      <c r="D5" s="42"/>
      <c r="E5" s="42"/>
      <c r="O5" s="42" t="s">
        <v>3</v>
      </c>
      <c r="P5" s="42"/>
      <c r="Q5" s="42"/>
      <c r="R5" s="42"/>
      <c r="S5" s="42"/>
      <c r="T5" s="42"/>
      <c r="U5" s="42"/>
      <c r="V5" s="42"/>
      <c r="W5" s="42"/>
      <c r="X5" s="42"/>
      <c r="Y5" s="42"/>
      <c r="AJ5" t="s">
        <v>4</v>
      </c>
      <c r="AK5" s="45">
        <v>12</v>
      </c>
      <c r="AL5" s="45"/>
      <c r="AM5" s="45"/>
      <c r="AN5" s="3"/>
    </row>
    <row r="6" spans="1:42" x14ac:dyDescent="0.25">
      <c r="A6" s="41"/>
      <c r="B6" s="42"/>
      <c r="C6" s="42"/>
      <c r="D6" s="42"/>
      <c r="E6" s="42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48" t="s">
        <v>5</v>
      </c>
      <c r="G9" s="48"/>
      <c r="H9" s="48"/>
      <c r="I9" s="48"/>
      <c r="J9" s="48"/>
      <c r="K9" s="48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N9" s="3"/>
    </row>
    <row r="10" spans="1:42" ht="15.75" thickBot="1" x14ac:dyDescent="0.3">
      <c r="A10" s="2"/>
      <c r="F10" s="48" t="s">
        <v>6</v>
      </c>
      <c r="G10" s="48"/>
      <c r="H10" s="48"/>
      <c r="I10" s="48"/>
      <c r="J10" s="48"/>
      <c r="K10" s="48"/>
      <c r="P10" s="40" t="str">
        <f>IF(P9="","",VLOOKUP(P9,M_Empleados[],2,FALSE))</f>
        <v/>
      </c>
      <c r="Q10" s="40"/>
      <c r="R10" s="40"/>
      <c r="S10" s="40"/>
      <c r="T10" s="40"/>
      <c r="U10" s="40"/>
      <c r="V10" s="40"/>
      <c r="W10" s="40"/>
      <c r="X10" s="40"/>
      <c r="Y10" s="40"/>
      <c r="Z10" s="40"/>
      <c r="AN10" s="3"/>
      <c r="AO10" t="s">
        <v>7</v>
      </c>
    </row>
    <row r="11" spans="1:42" ht="15.75" thickBot="1" x14ac:dyDescent="0.3">
      <c r="A11" s="2"/>
      <c r="F11" s="48" t="s">
        <v>8</v>
      </c>
      <c r="G11" s="48"/>
      <c r="H11" s="48"/>
      <c r="I11" s="48"/>
      <c r="J11" s="48"/>
      <c r="K11" s="48"/>
      <c r="P11" s="40" t="str">
        <f>IF(P10="","",VLOOKUP(P9,M_Empleados[],3,FALSE))</f>
        <v/>
      </c>
      <c r="Q11" s="40"/>
      <c r="R11" s="40"/>
      <c r="S11" s="40"/>
      <c r="T11" s="40"/>
      <c r="U11" s="40"/>
      <c r="V11" s="40"/>
      <c r="W11" s="40"/>
      <c r="X11" s="40"/>
      <c r="Y11" s="40"/>
      <c r="Z11" s="40"/>
      <c r="AN11" s="3"/>
    </row>
    <row r="12" spans="1:42" ht="15.75" thickBot="1" x14ac:dyDescent="0.3">
      <c r="A12" s="2"/>
      <c r="F12" s="48" t="s">
        <v>9</v>
      </c>
      <c r="G12" s="48"/>
      <c r="H12" s="48"/>
      <c r="I12" s="7"/>
      <c r="J12" s="7"/>
      <c r="K12" s="7"/>
      <c r="P12" s="43" t="str">
        <f>IF(P11="","",VLOOKUP(P9,M_Empleados[],4,FALSE))</f>
        <v/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N12" s="3"/>
    </row>
    <row r="13" spans="1:42" x14ac:dyDescent="0.25">
      <c r="A13" s="2"/>
      <c r="AN13" s="3"/>
    </row>
    <row r="14" spans="1:42" x14ac:dyDescent="0.25">
      <c r="A14" s="38" t="s">
        <v>10</v>
      </c>
      <c r="B14" s="38"/>
      <c r="C14" s="38"/>
      <c r="D14" s="38" t="s">
        <v>11</v>
      </c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 t="s">
        <v>12</v>
      </c>
      <c r="V14" s="38"/>
      <c r="W14" s="38"/>
      <c r="X14" s="38" t="s">
        <v>13</v>
      </c>
      <c r="Y14" s="38"/>
      <c r="Z14" s="38"/>
      <c r="AA14" s="38"/>
      <c r="AB14" s="38"/>
      <c r="AC14" s="38"/>
      <c r="AD14" s="38" t="s">
        <v>14</v>
      </c>
      <c r="AE14" s="38"/>
      <c r="AF14" s="38"/>
      <c r="AG14" s="38"/>
      <c r="AH14" s="38"/>
      <c r="AI14" s="38"/>
      <c r="AJ14" s="38"/>
      <c r="AK14" s="38"/>
      <c r="AL14" s="38"/>
      <c r="AM14" s="38"/>
      <c r="AN14" s="38"/>
    </row>
    <row r="15" spans="1:42" x14ac:dyDescent="0.25">
      <c r="A15" s="35"/>
      <c r="B15" s="35"/>
      <c r="C15" s="35"/>
      <c r="D15" s="34" t="str">
        <f>IF(A15="","",(VLOOKUP(A15,M_Productos[],2,FALSE)))</f>
        <v/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1"/>
      <c r="V15" s="32"/>
      <c r="W15" s="33"/>
      <c r="X15" s="29" t="str">
        <f>IF(A15="","",(VLOOKUP(A15,M_Productos[],4,FALSE)*VLOOKUP($A15,M_Productos[],3,FALSE)*U15))</f>
        <v/>
      </c>
      <c r="Y15" s="29"/>
      <c r="Z15" s="29"/>
      <c r="AA15" s="29"/>
      <c r="AB15" s="29"/>
      <c r="AC15" s="29"/>
      <c r="AD15" s="29" t="str">
        <f>IF(A15="","",((VLOOKUP(A15,M_Productos[],4,FALSE) + X15)*U15))</f>
        <v/>
      </c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P15" s="11"/>
    </row>
    <row r="16" spans="1:42" x14ac:dyDescent="0.25">
      <c r="A16" s="35"/>
      <c r="B16" s="35"/>
      <c r="C16" s="35"/>
      <c r="D16" s="34" t="str">
        <f>IF(A16="","",(VLOOKUP(A16,M_Productos[],2,FALSE)))</f>
        <v/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1"/>
      <c r="V16" s="32"/>
      <c r="W16" s="33"/>
      <c r="X16" s="29" t="str">
        <f>IF(A16="","",(VLOOKUP(A16,M_Productos[],4,FALSE)*VLOOKUP($A16,M_Productos[],3,FALSE)*U16))</f>
        <v/>
      </c>
      <c r="Y16" s="29"/>
      <c r="Z16" s="29"/>
      <c r="AA16" s="29"/>
      <c r="AB16" s="29"/>
      <c r="AC16" s="29"/>
      <c r="AD16" s="29" t="str">
        <f>IF(A16="","",((VLOOKUP(A16,M_Productos[],4,FALSE) + X16)*U16))</f>
        <v/>
      </c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P16" s="11"/>
    </row>
    <row r="17" spans="1:42" x14ac:dyDescent="0.25">
      <c r="A17" s="35"/>
      <c r="B17" s="35"/>
      <c r="C17" s="35"/>
      <c r="D17" s="34" t="str">
        <f>IF(A17="","",(VLOOKUP(A17,M_Productos[],2,FALSE)))</f>
        <v/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1"/>
      <c r="V17" s="32"/>
      <c r="W17" s="33"/>
      <c r="X17" s="29" t="str">
        <f>IF(A17="","",(VLOOKUP(A17,M_Productos[],4,FALSE)*VLOOKUP($A17,M_Productos[],3,FALSE)*U17))</f>
        <v/>
      </c>
      <c r="Y17" s="29"/>
      <c r="Z17" s="29"/>
      <c r="AA17" s="29"/>
      <c r="AB17" s="29"/>
      <c r="AC17" s="29"/>
      <c r="AD17" s="29" t="str">
        <f>IF(A17="","",((VLOOKUP(A17,M_Productos[],4,FALSE) + X17)*U17))</f>
        <v/>
      </c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P17" s="11"/>
    </row>
    <row r="18" spans="1:42" x14ac:dyDescent="0.25">
      <c r="A18" s="35"/>
      <c r="B18" s="35"/>
      <c r="C18" s="35"/>
      <c r="D18" s="34" t="str">
        <f>IF(A18="","",(VLOOKUP(A18,M_Productos[],2,FALSE)))</f>
        <v/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1"/>
      <c r="V18" s="32"/>
      <c r="W18" s="33"/>
      <c r="X18" s="29" t="str">
        <f>IF(A18="","",(VLOOKUP(A18,M_Productos[],4,FALSE)*VLOOKUP($A18,M_Productos[],3,FALSE)*U18))</f>
        <v/>
      </c>
      <c r="Y18" s="29"/>
      <c r="Z18" s="29"/>
      <c r="AA18" s="29"/>
      <c r="AB18" s="29"/>
      <c r="AC18" s="29"/>
      <c r="AD18" s="29" t="str">
        <f>IF(A18="","",((VLOOKUP(A18,M_Productos[],4,FALSE) + X18)*U18))</f>
        <v/>
      </c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P18" s="11"/>
    </row>
    <row r="19" spans="1:42" x14ac:dyDescent="0.25">
      <c r="A19" s="35"/>
      <c r="B19" s="35"/>
      <c r="C19" s="35"/>
      <c r="D19" s="34" t="str">
        <f>IF(A19="","",(VLOOKUP(A19,M_Productos[],2,FALSE)))</f>
        <v/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1"/>
      <c r="V19" s="32"/>
      <c r="W19" s="33"/>
      <c r="X19" s="29" t="str">
        <f>IF(A19="","",(VLOOKUP(A19,M_Productos[],4,FALSE)*VLOOKUP($A19,M_Productos[],3,FALSE)*U19))</f>
        <v/>
      </c>
      <c r="Y19" s="29"/>
      <c r="Z19" s="29"/>
      <c r="AA19" s="29"/>
      <c r="AB19" s="29"/>
      <c r="AC19" s="29"/>
      <c r="AD19" s="29" t="str">
        <f>IF(A19="","",((VLOOKUP(A19,M_Productos[],4,FALSE) + X19)*U19))</f>
        <v/>
      </c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P19" s="11"/>
    </row>
    <row r="20" spans="1:42" x14ac:dyDescent="0.25">
      <c r="A20" s="35"/>
      <c r="B20" s="35"/>
      <c r="C20" s="35"/>
      <c r="D20" s="34" t="str">
        <f>IF(A20="","",(VLOOKUP(A20,M_Productos[],2,FALSE)))</f>
        <v/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1"/>
      <c r="V20" s="32"/>
      <c r="W20" s="33"/>
      <c r="X20" s="29" t="str">
        <f>IF(A20="","",(VLOOKUP(A20,M_Productos[],4,FALSE)*VLOOKUP($A20,M_Productos[],3,FALSE)*U20))</f>
        <v/>
      </c>
      <c r="Y20" s="29"/>
      <c r="Z20" s="29"/>
      <c r="AA20" s="29"/>
      <c r="AB20" s="29"/>
      <c r="AC20" s="29"/>
      <c r="AD20" s="29" t="str">
        <f>IF(A20="","",((VLOOKUP(A20,M_Productos[],4,FALSE) + X20)*U20))</f>
        <v/>
      </c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P20" s="11"/>
    </row>
    <row r="21" spans="1:42" x14ac:dyDescent="0.25">
      <c r="A21" s="35"/>
      <c r="B21" s="35"/>
      <c r="C21" s="35"/>
      <c r="D21" s="34" t="str">
        <f>IF(A21="","",(VLOOKUP(A21,M_Productos[],2,FALSE)))</f>
        <v/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1"/>
      <c r="V21" s="32"/>
      <c r="W21" s="33"/>
      <c r="X21" s="29" t="str">
        <f>IF(A21="","",(VLOOKUP(A21,M_Productos[],4,FALSE)*VLOOKUP($A21,M_Productos[],3,FALSE)*U21))</f>
        <v/>
      </c>
      <c r="Y21" s="29"/>
      <c r="Z21" s="29"/>
      <c r="AA21" s="29"/>
      <c r="AB21" s="29"/>
      <c r="AC21" s="29"/>
      <c r="AD21" s="29" t="str">
        <f>IF(A21="","",((VLOOKUP(A21,M_Productos[],4,FALSE) + X21)*U21))</f>
        <v/>
      </c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P21" s="11"/>
    </row>
    <row r="22" spans="1:42" x14ac:dyDescent="0.25">
      <c r="A22" s="35"/>
      <c r="B22" s="35"/>
      <c r="C22" s="35"/>
      <c r="D22" s="34" t="str">
        <f>IF(A22="","",(VLOOKUP(A22,M_Productos[],2,FALSE)))</f>
        <v/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1"/>
      <c r="V22" s="32"/>
      <c r="W22" s="33"/>
      <c r="X22" s="29" t="str">
        <f>IF(A22="","",(VLOOKUP(A22,M_Productos[],4,FALSE)*VLOOKUP($A22,M_Productos[],3,FALSE)*U22))</f>
        <v/>
      </c>
      <c r="Y22" s="29"/>
      <c r="Z22" s="29"/>
      <c r="AA22" s="29"/>
      <c r="AB22" s="29"/>
      <c r="AC22" s="29"/>
      <c r="AD22" s="29" t="str">
        <f>IF(A22="","",((VLOOKUP(A22,M_Productos[],4,FALSE) + X22)*U22))</f>
        <v/>
      </c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P22" s="11"/>
    </row>
    <row r="23" spans="1:42" x14ac:dyDescent="0.25">
      <c r="A23" s="35"/>
      <c r="B23" s="35"/>
      <c r="C23" s="35"/>
      <c r="D23" s="34" t="str">
        <f>IF(A23="","",(VLOOKUP(A23,M_Productos[],2,FALSE)))</f>
        <v/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1"/>
      <c r="V23" s="32"/>
      <c r="W23" s="33"/>
      <c r="X23" s="29" t="str">
        <f>IF(A23="","",(VLOOKUP(A23,M_Productos[],4,FALSE)*VLOOKUP($A23,M_Productos[],3,FALSE)*U23))</f>
        <v/>
      </c>
      <c r="Y23" s="29"/>
      <c r="Z23" s="29"/>
      <c r="AA23" s="29"/>
      <c r="AB23" s="29"/>
      <c r="AC23" s="29"/>
      <c r="AD23" s="29" t="str">
        <f>IF(A23="","",((VLOOKUP(A23,M_Productos[],4,FALSE) + X23)*U23))</f>
        <v/>
      </c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P23" s="11"/>
    </row>
    <row r="24" spans="1:42" x14ac:dyDescent="0.25">
      <c r="A24" s="35"/>
      <c r="B24" s="35"/>
      <c r="C24" s="35"/>
      <c r="D24" s="34" t="str">
        <f>IF(A24="","",(VLOOKUP(A24,M_Productos[],2,FALSE)))</f>
        <v/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1"/>
      <c r="V24" s="32"/>
      <c r="W24" s="33"/>
      <c r="X24" s="29" t="str">
        <f>IF(A24="","",(VLOOKUP(A24,M_Productos[],4,FALSE)*VLOOKUP($A24,M_Productos[],3,FALSE)*U24))</f>
        <v/>
      </c>
      <c r="Y24" s="29"/>
      <c r="Z24" s="29"/>
      <c r="AA24" s="29"/>
      <c r="AB24" s="29"/>
      <c r="AC24" s="29"/>
      <c r="AD24" s="29" t="str">
        <f>IF(A24="","",((VLOOKUP(A24,M_Productos[],4,FALSE) + X24)*U24))</f>
        <v/>
      </c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P24" s="11"/>
    </row>
    <row r="25" spans="1:42" x14ac:dyDescent="0.25">
      <c r="A25" s="35"/>
      <c r="B25" s="35"/>
      <c r="C25" s="35"/>
      <c r="D25" s="34" t="str">
        <f>IF(A25="","",(VLOOKUP(A25,M_Productos[],2,FALSE)))</f>
        <v/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1"/>
      <c r="V25" s="32"/>
      <c r="W25" s="33"/>
      <c r="X25" s="29" t="str">
        <f>IF(A25="","",(VLOOKUP(A25,M_Productos[],4,FALSE)*VLOOKUP($A25,M_Productos[],3,FALSE)*U25))</f>
        <v/>
      </c>
      <c r="Y25" s="29"/>
      <c r="Z25" s="29"/>
      <c r="AA25" s="29"/>
      <c r="AB25" s="29"/>
      <c r="AC25" s="29"/>
      <c r="AD25" s="29" t="str">
        <f>IF(A25="","",((VLOOKUP(A25,M_Productos[],4,FALSE) + X25)*U25))</f>
        <v/>
      </c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P25" s="11"/>
    </row>
    <row r="26" spans="1:42" x14ac:dyDescent="0.25">
      <c r="A26" s="35"/>
      <c r="B26" s="35"/>
      <c r="C26" s="35"/>
      <c r="D26" s="34" t="str">
        <f>IF(A26="","",(VLOOKUP(A26,M_Productos[],2,FALSE)))</f>
        <v/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1"/>
      <c r="V26" s="32"/>
      <c r="W26" s="33"/>
      <c r="X26" s="29" t="str">
        <f>IF(A26="","",(VLOOKUP(A26,M_Productos[],4,FALSE)*VLOOKUP($A26,M_Productos[],3,FALSE)*U26))</f>
        <v/>
      </c>
      <c r="Y26" s="29"/>
      <c r="Z26" s="29"/>
      <c r="AA26" s="29"/>
      <c r="AB26" s="29"/>
      <c r="AC26" s="29"/>
      <c r="AD26" s="29" t="str">
        <f>IF(A26="","",((VLOOKUP(A26,M_Productos[],4,FALSE) + X26)*U26))</f>
        <v/>
      </c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P26" s="11"/>
    </row>
    <row r="27" spans="1:42" x14ac:dyDescent="0.25">
      <c r="A27" s="35"/>
      <c r="B27" s="35"/>
      <c r="C27" s="35"/>
      <c r="D27" s="34" t="str">
        <f>IF(A27="","",(VLOOKUP(A27,M_Productos[],2,FALSE)))</f>
        <v/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1"/>
      <c r="V27" s="32"/>
      <c r="W27" s="33"/>
      <c r="X27" s="29" t="str">
        <f>IF(A27="","",(VLOOKUP(A27,M_Productos[],4,FALSE)*VLOOKUP($A27,M_Productos[],3,FALSE)*U27))</f>
        <v/>
      </c>
      <c r="Y27" s="29"/>
      <c r="Z27" s="29"/>
      <c r="AA27" s="29"/>
      <c r="AB27" s="29"/>
      <c r="AC27" s="29"/>
      <c r="AD27" s="29" t="str">
        <f>IF(A27="","",((VLOOKUP(A27,M_Productos[],4,FALSE) + X27)*U27))</f>
        <v/>
      </c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P27" s="11"/>
    </row>
    <row r="28" spans="1:42" ht="20.25" customHeight="1" x14ac:dyDescent="0.25">
      <c r="A28" s="30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6">
        <f>SUM(AD15:AN27)- SUM(X15:AC27)</f>
        <v>0</v>
      </c>
      <c r="AE28" s="36"/>
      <c r="AF28" s="36"/>
      <c r="AG28" s="36"/>
      <c r="AH28" s="36"/>
      <c r="AI28" s="36"/>
      <c r="AJ28" s="36"/>
      <c r="AK28" s="36"/>
      <c r="AL28" s="36"/>
      <c r="AM28" s="36"/>
      <c r="AN28" s="36"/>
    </row>
    <row r="29" spans="1:42" ht="18" customHeight="1" x14ac:dyDescent="0.25">
      <c r="A29" s="30" t="s">
        <v>16</v>
      </c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6">
        <f>SUM(X15:AC27)</f>
        <v>0</v>
      </c>
      <c r="AE29" s="36"/>
      <c r="AF29" s="36"/>
      <c r="AG29" s="36"/>
      <c r="AH29" s="36"/>
      <c r="AI29" s="36"/>
      <c r="AJ29" s="36"/>
      <c r="AK29" s="36"/>
      <c r="AL29" s="36"/>
      <c r="AM29" s="36"/>
      <c r="AN29" s="36"/>
    </row>
    <row r="30" spans="1:42" ht="21" customHeight="1" x14ac:dyDescent="0.25">
      <c r="A30" s="30" t="s">
        <v>17</v>
      </c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7">
        <f>SUM(AD28:AN29)</f>
        <v>0</v>
      </c>
      <c r="AE30" s="37"/>
      <c r="AF30" s="37"/>
      <c r="AG30" s="37"/>
      <c r="AH30" s="37"/>
      <c r="AI30" s="37"/>
      <c r="AJ30" s="37"/>
      <c r="AK30" s="37"/>
      <c r="AL30" s="37"/>
      <c r="AM30" s="37"/>
      <c r="AN30" s="37"/>
    </row>
    <row r="31" spans="1:42" ht="18" customHeight="1" x14ac:dyDescent="0.25">
      <c r="A31" s="30" t="s">
        <v>18</v>
      </c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6">
        <f>IF(AD28&lt;1000000,+AD28-AD30*2%,IF(AD28&lt;5000000,+AD28-AD30*5%,IF(AD28&lt;10000000,+AD28-AD30*10%,IF(AD28&lt;30000000,+AD28-AD30*15%,IF(AD28&gt;30000000,+AD28-AD30*20%)))))</f>
        <v>0</v>
      </c>
      <c r="AE31" s="36"/>
      <c r="AF31" s="36"/>
      <c r="AG31" s="36"/>
      <c r="AH31" s="36"/>
      <c r="AI31" s="36"/>
      <c r="AJ31" s="36"/>
      <c r="AK31" s="36"/>
      <c r="AL31" s="36"/>
      <c r="AM31" s="36"/>
      <c r="AN31" s="36"/>
    </row>
    <row r="34" spans="2:5" x14ac:dyDescent="0.25">
      <c r="B34" s="46" t="s">
        <v>98</v>
      </c>
      <c r="C34" s="46"/>
      <c r="D34" s="46"/>
      <c r="E34" s="46"/>
    </row>
    <row r="35" spans="2:5" x14ac:dyDescent="0.25">
      <c r="B35" s="46"/>
      <c r="C35" s="46"/>
      <c r="D35" s="46"/>
      <c r="E35" s="46"/>
    </row>
  </sheetData>
  <protectedRanges>
    <protectedRange sqref="AK5:AM5" name="Rango1"/>
  </protectedRanges>
  <dataConsolidate function="max"/>
  <mergeCells count="94">
    <mergeCell ref="A20:C20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26:C26"/>
    <mergeCell ref="A22:C22"/>
    <mergeCell ref="U21:W21"/>
    <mergeCell ref="A24:C24"/>
    <mergeCell ref="D24:T24"/>
    <mergeCell ref="D25:T25"/>
    <mergeCell ref="D26:T26"/>
    <mergeCell ref="A23:C23"/>
    <mergeCell ref="U22:W22"/>
    <mergeCell ref="U23:W23"/>
    <mergeCell ref="D22:T22"/>
    <mergeCell ref="D23:T23"/>
    <mergeCell ref="U26:W26"/>
    <mergeCell ref="D21:T21"/>
    <mergeCell ref="X20:AC20"/>
    <mergeCell ref="A1:E6"/>
    <mergeCell ref="P12:Z12"/>
    <mergeCell ref="AK2:AM2"/>
    <mergeCell ref="A25:C25"/>
    <mergeCell ref="X22:AC22"/>
    <mergeCell ref="U24:W24"/>
    <mergeCell ref="U25:W25"/>
    <mergeCell ref="X17:AC17"/>
    <mergeCell ref="X18:AC18"/>
    <mergeCell ref="AK5:AM5"/>
    <mergeCell ref="AK4:AM4"/>
    <mergeCell ref="AK1:AM1"/>
    <mergeCell ref="D19:T19"/>
    <mergeCell ref="A21:C21"/>
    <mergeCell ref="U20:W20"/>
    <mergeCell ref="X21:AC21"/>
    <mergeCell ref="A17:C17"/>
    <mergeCell ref="A18:C18"/>
    <mergeCell ref="A19:C19"/>
    <mergeCell ref="D14:T14"/>
    <mergeCell ref="D15:T15"/>
    <mergeCell ref="D16:T16"/>
    <mergeCell ref="D17:T17"/>
    <mergeCell ref="D18:T18"/>
    <mergeCell ref="X15:AC15"/>
    <mergeCell ref="X16:AC16"/>
    <mergeCell ref="A15:C15"/>
    <mergeCell ref="A16:C16"/>
    <mergeCell ref="D20:T20"/>
    <mergeCell ref="U19:W19"/>
    <mergeCell ref="X19:AC19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AD22:AN22"/>
    <mergeCell ref="AD23:AN23"/>
    <mergeCell ref="AD24:AN24"/>
    <mergeCell ref="AD25:AN25"/>
    <mergeCell ref="X23:AC23"/>
    <mergeCell ref="X24:AC24"/>
    <mergeCell ref="X25:AC25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custom" showInputMessage="1" showErrorMessage="1" errorTitle="Falta Productos" error="No puedes agregar catidades sin un producto, agreaga antes un protucto por cantidad._x000a_" sqref="U15:W27" xr:uid="{2CF03705-CC32-4B1A-A6A1-C2BD2093210F}">
      <formula1>A15 &lt;&gt; ""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P35"/>
  <sheetViews>
    <sheetView showGridLines="0" zoomScale="85" zoomScaleNormal="85" workbookViewId="0">
      <selection activeCell="V37" sqref="V37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39"/>
      <c r="B1" s="40"/>
      <c r="C1" s="40"/>
      <c r="D1" s="40"/>
      <c r="E1" s="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40" t="s">
        <v>0</v>
      </c>
      <c r="AL1" s="40"/>
      <c r="AM1" s="40"/>
      <c r="AN1" s="10"/>
    </row>
    <row r="2" spans="1:42" x14ac:dyDescent="0.25">
      <c r="A2" s="41"/>
      <c r="B2" s="42"/>
      <c r="C2" s="42"/>
      <c r="D2" s="42"/>
      <c r="E2" s="42"/>
      <c r="AK2" s="44">
        <f ca="1">TODAY()</f>
        <v>44786</v>
      </c>
      <c r="AL2" s="44"/>
      <c r="AM2" s="44"/>
      <c r="AN2" s="9"/>
    </row>
    <row r="3" spans="1:42" x14ac:dyDescent="0.25">
      <c r="A3" s="41"/>
      <c r="B3" s="42"/>
      <c r="C3" s="42"/>
      <c r="D3" s="42"/>
      <c r="E3" s="42"/>
      <c r="O3" s="47" t="s">
        <v>1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N3" s="3"/>
    </row>
    <row r="4" spans="1:42" x14ac:dyDescent="0.25">
      <c r="A4" s="41"/>
      <c r="B4" s="42"/>
      <c r="C4" s="42"/>
      <c r="D4" s="42"/>
      <c r="E4" s="42"/>
      <c r="AK4" s="42" t="s">
        <v>2</v>
      </c>
      <c r="AL4" s="42"/>
      <c r="AM4" s="42"/>
      <c r="AN4" s="3"/>
    </row>
    <row r="5" spans="1:42" ht="15" customHeight="1" x14ac:dyDescent="0.25">
      <c r="A5" s="41"/>
      <c r="B5" s="42"/>
      <c r="C5" s="42"/>
      <c r="D5" s="42"/>
      <c r="E5" s="42"/>
      <c r="O5" s="42" t="s">
        <v>3</v>
      </c>
      <c r="P5" s="42"/>
      <c r="Q5" s="42"/>
      <c r="R5" s="42"/>
      <c r="S5" s="42"/>
      <c r="T5" s="42"/>
      <c r="U5" s="42"/>
      <c r="V5" s="42"/>
      <c r="W5" s="42"/>
      <c r="X5" s="42"/>
      <c r="Y5" s="42"/>
      <c r="AJ5" t="s">
        <v>4</v>
      </c>
      <c r="AK5" s="45">
        <v>7</v>
      </c>
      <c r="AL5" s="45"/>
      <c r="AM5" s="45"/>
      <c r="AN5" s="3"/>
    </row>
    <row r="6" spans="1:42" x14ac:dyDescent="0.25">
      <c r="A6" s="41"/>
      <c r="B6" s="42"/>
      <c r="C6" s="42"/>
      <c r="D6" s="42"/>
      <c r="E6" s="42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48" t="s">
        <v>5</v>
      </c>
      <c r="G9" s="48"/>
      <c r="H9" s="48"/>
      <c r="I9" s="48"/>
      <c r="J9" s="48"/>
      <c r="K9" s="48"/>
      <c r="P9" s="49" t="str">
        <f>IF($AK$5="","",VLOOKUP($AK$5,m_facturas[],2,FALSE))</f>
        <v>Alexander Mendez</v>
      </c>
      <c r="Q9" s="49"/>
      <c r="R9" s="49"/>
      <c r="S9" s="49"/>
      <c r="T9" s="49"/>
      <c r="U9" s="49"/>
      <c r="V9" s="49"/>
      <c r="W9" s="49"/>
      <c r="X9" s="49"/>
      <c r="Y9" s="49"/>
      <c r="Z9" s="49"/>
      <c r="AN9" s="3"/>
    </row>
    <row r="10" spans="1:42" ht="15.75" thickBot="1" x14ac:dyDescent="0.3">
      <c r="A10" s="2"/>
      <c r="F10" s="48" t="s">
        <v>6</v>
      </c>
      <c r="G10" s="48"/>
      <c r="H10" s="48"/>
      <c r="I10" s="48"/>
      <c r="J10" s="48"/>
      <c r="K10" s="48"/>
      <c r="P10" s="40">
        <f>IF(P9="","",VLOOKUP(P9,M_Empleados[],2,FALSE))</f>
        <v>5227080</v>
      </c>
      <c r="Q10" s="40"/>
      <c r="R10" s="40"/>
      <c r="S10" s="40"/>
      <c r="T10" s="40"/>
      <c r="U10" s="40"/>
      <c r="V10" s="40"/>
      <c r="W10" s="40"/>
      <c r="X10" s="40"/>
      <c r="Y10" s="40"/>
      <c r="Z10" s="40"/>
      <c r="AN10" s="3"/>
    </row>
    <row r="11" spans="1:42" ht="15.75" thickBot="1" x14ac:dyDescent="0.3">
      <c r="A11" s="2"/>
      <c r="F11" s="48" t="s">
        <v>8</v>
      </c>
      <c r="G11" s="48"/>
      <c r="H11" s="48"/>
      <c r="I11" s="48"/>
      <c r="J11" s="48"/>
      <c r="K11" s="48"/>
      <c r="P11" s="40" t="str">
        <f>IF(P10="","",VLOOKUP(P9,M_Empleados[],3,FALSE))</f>
        <v>Resgistro</v>
      </c>
      <c r="Q11" s="40"/>
      <c r="R11" s="40"/>
      <c r="S11" s="40"/>
      <c r="T11" s="40"/>
      <c r="U11" s="40"/>
      <c r="V11" s="40"/>
      <c r="W11" s="40"/>
      <c r="X11" s="40"/>
      <c r="Y11" s="40"/>
      <c r="Z11" s="40"/>
      <c r="AN11" s="3"/>
    </row>
    <row r="12" spans="1:42" ht="15.75" thickBot="1" x14ac:dyDescent="0.3">
      <c r="A12" s="2"/>
      <c r="F12" s="48" t="s">
        <v>9</v>
      </c>
      <c r="G12" s="48"/>
      <c r="H12" s="48"/>
      <c r="I12" s="7"/>
      <c r="J12" s="7"/>
      <c r="K12" s="7"/>
      <c r="P12" s="43" t="str">
        <f>IF(P11="","",VLOOKUP(P9,Empleados,4,FALSE))</f>
        <v>Transversal 5 # 44-5</v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N12" s="3"/>
    </row>
    <row r="13" spans="1:42" x14ac:dyDescent="0.25">
      <c r="A13" s="2"/>
      <c r="AN13" s="3"/>
      <c r="AP13" t="str">
        <f>IF(BF3="","",VLOOKUP($AK$5,m_facturas[],17,FALSE))</f>
        <v/>
      </c>
    </row>
    <row r="14" spans="1:42" x14ac:dyDescent="0.25">
      <c r="A14" s="38" t="s">
        <v>10</v>
      </c>
      <c r="B14" s="38"/>
      <c r="C14" s="38"/>
      <c r="D14" s="38" t="s">
        <v>11</v>
      </c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 t="s">
        <v>12</v>
      </c>
      <c r="V14" s="38"/>
      <c r="W14" s="38"/>
      <c r="X14" s="38" t="s">
        <v>13</v>
      </c>
      <c r="Y14" s="38"/>
      <c r="Z14" s="38"/>
      <c r="AA14" s="38"/>
      <c r="AB14" s="38"/>
      <c r="AC14" s="38"/>
      <c r="AD14" s="38" t="s">
        <v>14</v>
      </c>
      <c r="AE14" s="38"/>
      <c r="AF14" s="38"/>
      <c r="AG14" s="38"/>
      <c r="AH14" s="38"/>
      <c r="AI14" s="38"/>
      <c r="AJ14" s="38"/>
      <c r="AK14" s="38"/>
      <c r="AL14" s="38"/>
      <c r="AM14" s="38"/>
      <c r="AN14" s="38"/>
    </row>
    <row r="15" spans="1:42" x14ac:dyDescent="0.25">
      <c r="A15" s="50" t="str">
        <f>IF($AK$5="","",IF(VLOOKUP($AK$5,m_facturas[],4,FALSE)="","",VLOOKUP($AK$5,m_facturas[],4,FALSE)))</f>
        <v/>
      </c>
      <c r="B15" s="51"/>
      <c r="C15" s="52"/>
      <c r="D15" s="34" t="str">
        <f>IF(A15="","",(VLOOKUP(A15,M_Productos[],2,FALSE)))</f>
        <v/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50" t="str">
        <f>IF(A15="","",VLOOKUP($AK$5,m_facturas[],17,FALSE))</f>
        <v/>
      </c>
      <c r="V15" s="51"/>
      <c r="W15" s="52"/>
      <c r="X15" s="29" t="str">
        <f>IF(A15="","",(VLOOKUP(A15,M_Productos[],4,FALSE)*VLOOKUP($A15,M_Productos[],3,FALSE)*U15))</f>
        <v/>
      </c>
      <c r="Y15" s="29"/>
      <c r="Z15" s="29"/>
      <c r="AA15" s="29"/>
      <c r="AB15" s="29"/>
      <c r="AC15" s="29"/>
      <c r="AD15" s="29" t="str">
        <f>IF(A15="","",((VLOOKUP(A15,M_Productos[],4,FALSE) + X15)*U15))</f>
        <v/>
      </c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P15" s="11"/>
    </row>
    <row r="16" spans="1:42" x14ac:dyDescent="0.25">
      <c r="A16" s="50" t="str">
        <f>IF($AK$5="","",IF(VLOOKUP($AK$5,m_facturas[],5,FALSE)="","",VLOOKUP($AK$5,m_facturas[],5,FALSE)))</f>
        <v/>
      </c>
      <c r="B16" s="51"/>
      <c r="C16" s="52"/>
      <c r="D16" s="34" t="str">
        <f>IF(A16="","",(VLOOKUP(A16,M_Productos[],2,FALSE)))</f>
        <v/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50" t="str">
        <f>IF(A16="","",VLOOKUP($AK$5,m_facturas[],18,FALSE))</f>
        <v/>
      </c>
      <c r="V16" s="51"/>
      <c r="W16" s="52"/>
      <c r="X16" s="29" t="str">
        <f>IF(A16="","",(VLOOKUP(A16,M_Productos[],4,FALSE)*VLOOKUP($A16,M_Productos[],3,FALSE)*U16))</f>
        <v/>
      </c>
      <c r="Y16" s="29"/>
      <c r="Z16" s="29"/>
      <c r="AA16" s="29"/>
      <c r="AB16" s="29"/>
      <c r="AC16" s="29"/>
      <c r="AD16" s="53" t="str">
        <f>IF(A16="","",((VLOOKUP(A16,M_Productos[],4,FALSE) + X16)*U16))</f>
        <v/>
      </c>
      <c r="AE16" s="54"/>
      <c r="AF16" s="54"/>
      <c r="AG16" s="54"/>
      <c r="AH16" s="54"/>
      <c r="AI16" s="54"/>
      <c r="AJ16" s="54"/>
      <c r="AK16" s="54"/>
      <c r="AL16" s="54"/>
      <c r="AM16" s="54"/>
      <c r="AN16" s="55"/>
      <c r="AP16" s="11"/>
    </row>
    <row r="17" spans="1:42" x14ac:dyDescent="0.25">
      <c r="A17" s="50" t="str">
        <f>IF($AK$5="","",IF(VLOOKUP($AK$5,m_facturas[],6,FALSE)="","",VLOOKUP($AK$5,m_facturas[],6,FALSE)))</f>
        <v/>
      </c>
      <c r="B17" s="51"/>
      <c r="C17" s="52"/>
      <c r="D17" s="34" t="str">
        <f>IF(A17="","",(VLOOKUP(A17,M_Productos[],2,FALSE)))</f>
        <v/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50" t="str">
        <f>IF(A17="","",VLOOKUP($AK$5,m_facturas[],19,FALSE))</f>
        <v/>
      </c>
      <c r="V17" s="51"/>
      <c r="W17" s="52"/>
      <c r="X17" s="29" t="str">
        <f>IF(A17="","",(VLOOKUP(A17,M_Productos[],4,FALSE)*VLOOKUP($A17,M_Productos[],3,FALSE)*U17))</f>
        <v/>
      </c>
      <c r="Y17" s="29"/>
      <c r="Z17" s="29"/>
      <c r="AA17" s="29"/>
      <c r="AB17" s="29"/>
      <c r="AC17" s="29"/>
      <c r="AD17" s="53" t="str">
        <f>IF(A17="","",((VLOOKUP(A17,M_Productos[],4,FALSE) + X17)*U17))</f>
        <v/>
      </c>
      <c r="AE17" s="54"/>
      <c r="AF17" s="54"/>
      <c r="AG17" s="54"/>
      <c r="AH17" s="54"/>
      <c r="AI17" s="54"/>
      <c r="AJ17" s="54"/>
      <c r="AK17" s="54"/>
      <c r="AL17" s="54"/>
      <c r="AM17" s="54"/>
      <c r="AN17" s="55"/>
      <c r="AP17" s="11"/>
    </row>
    <row r="18" spans="1:42" x14ac:dyDescent="0.25">
      <c r="A18" s="50" t="str">
        <f>IF($AK$5="","",IF(VLOOKUP($AK$5,m_facturas[],7,FALSE)="","",VLOOKUP($AK$5,m_facturas[],7,FALSE)))</f>
        <v/>
      </c>
      <c r="B18" s="51"/>
      <c r="C18" s="52"/>
      <c r="D18" s="34" t="str">
        <f>IF(A18="","",(VLOOKUP(A18,M_Productos[],2,FALSE)))</f>
        <v/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50" t="str">
        <f>IF(A18="","",VLOOKUP($AK$5,m_facturas[],20,FALSE))</f>
        <v/>
      </c>
      <c r="V18" s="51"/>
      <c r="W18" s="52"/>
      <c r="X18" s="29" t="str">
        <f>IF(A18="","",(VLOOKUP(A18,M_Productos[],4,FALSE)*VLOOKUP($A18,M_Productos[],3,FALSE)*U18))</f>
        <v/>
      </c>
      <c r="Y18" s="29"/>
      <c r="Z18" s="29"/>
      <c r="AA18" s="29"/>
      <c r="AB18" s="29"/>
      <c r="AC18" s="29"/>
      <c r="AD18" s="53" t="str">
        <f>IF(A18="","",((VLOOKUP(A18,M_Productos[],4,FALSE) + X18)*U18))</f>
        <v/>
      </c>
      <c r="AE18" s="54"/>
      <c r="AF18" s="54"/>
      <c r="AG18" s="54"/>
      <c r="AH18" s="54"/>
      <c r="AI18" s="54"/>
      <c r="AJ18" s="54"/>
      <c r="AK18" s="54"/>
      <c r="AL18" s="54"/>
      <c r="AM18" s="54"/>
      <c r="AN18" s="55"/>
      <c r="AP18" s="11"/>
    </row>
    <row r="19" spans="1:42" x14ac:dyDescent="0.25">
      <c r="A19" s="50" t="str">
        <f>IF($AK$5="","",IF(VLOOKUP($AK$5,m_facturas[],8,FALSE)="","",VLOOKUP($AK$5,m_facturas[],8,FALSE)))</f>
        <v/>
      </c>
      <c r="B19" s="51"/>
      <c r="C19" s="52"/>
      <c r="D19" s="34" t="str">
        <f>IF(A19="","",(VLOOKUP(A19,M_Productos[],2,FALSE)))</f>
        <v/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50" t="str">
        <f>IF(A19="","",VLOOKUP($AK$5,m_facturas[],21,FALSE))</f>
        <v/>
      </c>
      <c r="V19" s="51"/>
      <c r="W19" s="52"/>
      <c r="X19" s="29" t="str">
        <f>IF(A19="","",(VLOOKUP(A19,M_Productos[],4,FALSE)*VLOOKUP($A19,M_Productos[],3,FALSE)*U19))</f>
        <v/>
      </c>
      <c r="Y19" s="29"/>
      <c r="Z19" s="29"/>
      <c r="AA19" s="29"/>
      <c r="AB19" s="29"/>
      <c r="AC19" s="29"/>
      <c r="AD19" s="53" t="str">
        <f>IF(A19="","",((VLOOKUP(A19,M_Productos[],4,FALSE) + X19)*U19))</f>
        <v/>
      </c>
      <c r="AE19" s="54"/>
      <c r="AF19" s="54"/>
      <c r="AG19" s="54"/>
      <c r="AH19" s="54"/>
      <c r="AI19" s="54"/>
      <c r="AJ19" s="54"/>
      <c r="AK19" s="54"/>
      <c r="AL19" s="54"/>
      <c r="AM19" s="54"/>
      <c r="AN19" s="55"/>
      <c r="AP19" s="11"/>
    </row>
    <row r="20" spans="1:42" x14ac:dyDescent="0.25">
      <c r="A20" s="50" t="str">
        <f>IF($AK$5="","",IF(VLOOKUP($AK$5,m_facturas[],9,FALSE)="","",VLOOKUP($AK$5,m_facturas[],9,FALSE)))</f>
        <v>AN101</v>
      </c>
      <c r="B20" s="51"/>
      <c r="C20" s="52"/>
      <c r="D20" s="34" t="str">
        <f>IF(A20="","",(VLOOKUP(A20,M_Productos[],2,FALSE)))</f>
        <v xml:space="preserve">TECLADO RED DRAGON DRACK AVENGER 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50">
        <f>IF(A20="","",VLOOKUP($AK$5,m_facturas[],22,FALSE))</f>
        <v>1</v>
      </c>
      <c r="V20" s="51"/>
      <c r="W20" s="52"/>
      <c r="X20" s="29">
        <f>IF(A20="","",(VLOOKUP(A20,M_Productos[],4,FALSE)*VLOOKUP($A20,M_Productos[],3,FALSE)*U20))</f>
        <v>9000</v>
      </c>
      <c r="Y20" s="29"/>
      <c r="Z20" s="29"/>
      <c r="AA20" s="29"/>
      <c r="AB20" s="29"/>
      <c r="AC20" s="29"/>
      <c r="AD20" s="53">
        <f>IF(A20="","",((VLOOKUP(A20,M_Productos[],4,FALSE) + X20)*U20))</f>
        <v>189000</v>
      </c>
      <c r="AE20" s="54"/>
      <c r="AF20" s="54"/>
      <c r="AG20" s="54"/>
      <c r="AH20" s="54"/>
      <c r="AI20" s="54"/>
      <c r="AJ20" s="54"/>
      <c r="AK20" s="54"/>
      <c r="AL20" s="54"/>
      <c r="AM20" s="54"/>
      <c r="AN20" s="55"/>
      <c r="AP20" s="11"/>
    </row>
    <row r="21" spans="1:42" x14ac:dyDescent="0.25">
      <c r="A21" s="50" t="str">
        <f>IF($AK$5="","",IF(VLOOKUP($AK$5,m_facturas[],10,FALSE)="","",VLOOKUP($AK$5,m_facturas[],10,FALSE)))</f>
        <v/>
      </c>
      <c r="B21" s="51"/>
      <c r="C21" s="52"/>
      <c r="D21" s="34" t="str">
        <f>IF(A21="","",(VLOOKUP(A21,M_Productos[],2,FALSE)))</f>
        <v/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50" t="str">
        <f>IF(A21="","",VLOOKUP($AK$5,m_facturas[],23,FALSE))</f>
        <v/>
      </c>
      <c r="V21" s="51"/>
      <c r="W21" s="52"/>
      <c r="X21" s="29" t="str">
        <f>IF(A21="","",(VLOOKUP(A21,M_Productos[],4,FALSE)*VLOOKUP($A21,M_Productos[],3,FALSE)*U21))</f>
        <v/>
      </c>
      <c r="Y21" s="29"/>
      <c r="Z21" s="29"/>
      <c r="AA21" s="29"/>
      <c r="AB21" s="29"/>
      <c r="AC21" s="29"/>
      <c r="AD21" s="53" t="str">
        <f>IF(A21="","",((VLOOKUP(A21,M_Productos[],4,FALSE) + X21)*U21))</f>
        <v/>
      </c>
      <c r="AE21" s="54"/>
      <c r="AF21" s="54"/>
      <c r="AG21" s="54"/>
      <c r="AH21" s="54"/>
      <c r="AI21" s="54"/>
      <c r="AJ21" s="54"/>
      <c r="AK21" s="54"/>
      <c r="AL21" s="54"/>
      <c r="AM21" s="54"/>
      <c r="AN21" s="55"/>
      <c r="AP21" s="11"/>
    </row>
    <row r="22" spans="1:42" x14ac:dyDescent="0.25">
      <c r="A22" s="50" t="str">
        <f>IF($AK$5="","",IF(VLOOKUP($AK$5,m_facturas[],11,FALSE)="","",VLOOKUP($AK$5,m_facturas[],11,FALSE)))</f>
        <v/>
      </c>
      <c r="B22" s="51"/>
      <c r="C22" s="52"/>
      <c r="D22" s="34" t="str">
        <f>IF(A22="","",(VLOOKUP(A22,M_Productos[],2,FALSE)))</f>
        <v/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50" t="str">
        <f>IF(A22="","",VLOOKUP($AK$5,m_facturas[],24,FALSE))</f>
        <v/>
      </c>
      <c r="V22" s="51"/>
      <c r="W22" s="52"/>
      <c r="X22" s="29" t="str">
        <f>IF(A22="","",(VLOOKUP(A22,M_Productos[],4,FALSE)*VLOOKUP($A22,M_Productos[],3,FALSE)*U22))</f>
        <v/>
      </c>
      <c r="Y22" s="29"/>
      <c r="Z22" s="29"/>
      <c r="AA22" s="29"/>
      <c r="AB22" s="29"/>
      <c r="AC22" s="29"/>
      <c r="AD22" s="53" t="str">
        <f>IF(A22="","",((VLOOKUP(A22,M_Productos[],4,FALSE) + X22)*U22))</f>
        <v/>
      </c>
      <c r="AE22" s="54"/>
      <c r="AF22" s="54"/>
      <c r="AG22" s="54"/>
      <c r="AH22" s="54"/>
      <c r="AI22" s="54"/>
      <c r="AJ22" s="54"/>
      <c r="AK22" s="54"/>
      <c r="AL22" s="54"/>
      <c r="AM22" s="54"/>
      <c r="AN22" s="55"/>
      <c r="AP22" s="11"/>
    </row>
    <row r="23" spans="1:42" x14ac:dyDescent="0.25">
      <c r="A23" s="50" t="str">
        <f>IF($AK$5="","",IF(VLOOKUP($AK$5,m_facturas[],12,FALSE)="","",VLOOKUP($AK$5,m_facturas[],12,FALSE)))</f>
        <v/>
      </c>
      <c r="B23" s="51"/>
      <c r="C23" s="52"/>
      <c r="D23" s="34" t="str">
        <f>IF(A23="","",(VLOOKUP(A23,M_Productos[],2,FALSE)))</f>
        <v/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50" t="str">
        <f>IF(A23="","",VLOOKUP($AK$5,m_facturas[],25,FALSE))</f>
        <v/>
      </c>
      <c r="V23" s="51"/>
      <c r="W23" s="52"/>
      <c r="X23" s="29" t="str">
        <f>IF(A23="","",(VLOOKUP(A23,M_Productos[],4,FALSE)*VLOOKUP($A23,M_Productos[],3,FALSE)*U23))</f>
        <v/>
      </c>
      <c r="Y23" s="29"/>
      <c r="Z23" s="29"/>
      <c r="AA23" s="29"/>
      <c r="AB23" s="29"/>
      <c r="AC23" s="29"/>
      <c r="AD23" s="53" t="str">
        <f>IF(A23="","",((VLOOKUP(A23,M_Productos[],4,FALSE) + X23)*U23))</f>
        <v/>
      </c>
      <c r="AE23" s="54"/>
      <c r="AF23" s="54"/>
      <c r="AG23" s="54"/>
      <c r="AH23" s="54"/>
      <c r="AI23" s="54"/>
      <c r="AJ23" s="54"/>
      <c r="AK23" s="54"/>
      <c r="AL23" s="54"/>
      <c r="AM23" s="54"/>
      <c r="AN23" s="55"/>
      <c r="AP23" s="11"/>
    </row>
    <row r="24" spans="1:42" x14ac:dyDescent="0.25">
      <c r="A24" s="50" t="str">
        <f>IF($AK$5="","",IF(VLOOKUP($AK$5,m_facturas[],13,FALSE)="","",VLOOKUP($AK$5,m_facturas[],13,FALSE)))</f>
        <v/>
      </c>
      <c r="B24" s="51"/>
      <c r="C24" s="52"/>
      <c r="D24" s="34" t="str">
        <f>IF(A24="","",(VLOOKUP(A24,M_Productos[],2,FALSE)))</f>
        <v/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50" t="str">
        <f>IF(A24="","",VLOOKUP($AK$5,m_facturas[],26,FALSE))</f>
        <v/>
      </c>
      <c r="V24" s="51"/>
      <c r="W24" s="52"/>
      <c r="X24" s="29" t="str">
        <f>IF(A24="","",(VLOOKUP(A24,M_Productos[],4,FALSE)*VLOOKUP($A24,M_Productos[],3,FALSE)*U24))</f>
        <v/>
      </c>
      <c r="Y24" s="29"/>
      <c r="Z24" s="29"/>
      <c r="AA24" s="29"/>
      <c r="AB24" s="29"/>
      <c r="AC24" s="29"/>
      <c r="AD24" s="53" t="str">
        <f>IF(A24="","",((VLOOKUP(A24,M_Productos[],4,FALSE) + X24)*U24))</f>
        <v/>
      </c>
      <c r="AE24" s="54"/>
      <c r="AF24" s="54"/>
      <c r="AG24" s="54"/>
      <c r="AH24" s="54"/>
      <c r="AI24" s="54"/>
      <c r="AJ24" s="54"/>
      <c r="AK24" s="54"/>
      <c r="AL24" s="54"/>
      <c r="AM24" s="54"/>
      <c r="AN24" s="55"/>
      <c r="AP24" s="11"/>
    </row>
    <row r="25" spans="1:42" x14ac:dyDescent="0.25">
      <c r="A25" s="50" t="str">
        <f>IF($AK$5="","",IF(VLOOKUP($AK$5,m_facturas[],14,FALSE)="","",VLOOKUP($AK$5,m_facturas[],14,FALSE)))</f>
        <v/>
      </c>
      <c r="B25" s="51"/>
      <c r="C25" s="52"/>
      <c r="D25" s="34" t="str">
        <f>IF(A25="","",(VLOOKUP(A25,M_Productos[],2,FALSE)))</f>
        <v/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50" t="str">
        <f>IF(A25="","",VLOOKUP($AK$5,m_facturas[],27,FALSE))</f>
        <v/>
      </c>
      <c r="V25" s="51"/>
      <c r="W25" s="52"/>
      <c r="X25" s="29" t="str">
        <f>IF(A25="","",(VLOOKUP(A25,M_Productos[],4,FALSE)*VLOOKUP($A25,M_Productos[],3,FALSE)*U25))</f>
        <v/>
      </c>
      <c r="Y25" s="29"/>
      <c r="Z25" s="29"/>
      <c r="AA25" s="29"/>
      <c r="AB25" s="29"/>
      <c r="AC25" s="29"/>
      <c r="AD25" s="53" t="str">
        <f>IF(A25="","",((VLOOKUP(A25,M_Productos[],4,FALSE) + X25)*U25))</f>
        <v/>
      </c>
      <c r="AE25" s="54"/>
      <c r="AF25" s="54"/>
      <c r="AG25" s="54"/>
      <c r="AH25" s="54"/>
      <c r="AI25" s="54"/>
      <c r="AJ25" s="54"/>
      <c r="AK25" s="54"/>
      <c r="AL25" s="54"/>
      <c r="AM25" s="54"/>
      <c r="AN25" s="55"/>
      <c r="AP25" s="11"/>
    </row>
    <row r="26" spans="1:42" x14ac:dyDescent="0.25">
      <c r="A26" s="50" t="str">
        <f>IF($AK$5="","",IF(VLOOKUP($AK$5,m_facturas[],15,FALSE)="","",VLOOKUP($AK$5,m_facturas[],15,FALSE)))</f>
        <v/>
      </c>
      <c r="B26" s="51"/>
      <c r="C26" s="52"/>
      <c r="D26" s="34" t="str">
        <f>IF(A26="","",(VLOOKUP(A26,M_Productos[],2,FALSE)))</f>
        <v/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50" t="str">
        <f>IF(A26="","",VLOOKUP($AK$5,m_facturas[],28,FALSE))</f>
        <v/>
      </c>
      <c r="V26" s="51"/>
      <c r="W26" s="52"/>
      <c r="X26" s="29" t="str">
        <f>IF(A26="","",(VLOOKUP(A26,M_Productos[],4,FALSE)*VLOOKUP($A26,M_Productos[],3,FALSE)*U26))</f>
        <v/>
      </c>
      <c r="Y26" s="29"/>
      <c r="Z26" s="29"/>
      <c r="AA26" s="29"/>
      <c r="AB26" s="29"/>
      <c r="AC26" s="29"/>
      <c r="AD26" s="53" t="str">
        <f>IF(A26="","",((VLOOKUP(A26,M_Productos[],4,FALSE) + X26)*U26))</f>
        <v/>
      </c>
      <c r="AE26" s="54"/>
      <c r="AF26" s="54"/>
      <c r="AG26" s="54"/>
      <c r="AH26" s="54"/>
      <c r="AI26" s="54"/>
      <c r="AJ26" s="54"/>
      <c r="AK26" s="54"/>
      <c r="AL26" s="54"/>
      <c r="AM26" s="54"/>
      <c r="AN26" s="55"/>
      <c r="AP26" s="11"/>
    </row>
    <row r="27" spans="1:42" x14ac:dyDescent="0.25">
      <c r="A27" s="50" t="str">
        <f>IF($AK$5="","",IF(VLOOKUP($AK$5,m_facturas[],16,FALSE)="","",VLOOKUP($AK$5,m_facturas[],16,FALSE)))</f>
        <v/>
      </c>
      <c r="B27" s="51"/>
      <c r="C27" s="52"/>
      <c r="D27" s="34" t="str">
        <f>IF(A27="","",(VLOOKUP(A27,M_Productos[],2,FALSE)))</f>
        <v/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50" t="str">
        <f>IF(A27="","",VLOOKUP($AK$5,m_facturas[],29,FALSE))</f>
        <v/>
      </c>
      <c r="V27" s="51"/>
      <c r="W27" s="52"/>
      <c r="X27" s="29" t="str">
        <f>IF(A27="","",(VLOOKUP(A27,M_Productos[],4,FALSE)*VLOOKUP($A27,M_Productos[],3,FALSE)*U27))</f>
        <v/>
      </c>
      <c r="Y27" s="29"/>
      <c r="Z27" s="29"/>
      <c r="AA27" s="29"/>
      <c r="AB27" s="29"/>
      <c r="AC27" s="29"/>
      <c r="AD27" s="53" t="str">
        <f>IF(A27="","",((VLOOKUP(A27,M_Productos[],4,FALSE) + X27)*U27))</f>
        <v/>
      </c>
      <c r="AE27" s="54"/>
      <c r="AF27" s="54"/>
      <c r="AG27" s="54"/>
      <c r="AH27" s="54"/>
      <c r="AI27" s="54"/>
      <c r="AJ27" s="54"/>
      <c r="AK27" s="54"/>
      <c r="AL27" s="54"/>
      <c r="AM27" s="54"/>
      <c r="AN27" s="55"/>
      <c r="AP27" s="11"/>
    </row>
    <row r="28" spans="1:42" ht="20.25" customHeight="1" x14ac:dyDescent="0.25">
      <c r="A28" s="30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6">
        <f>SUM(AD15:AN27)- SUM(X15:AC27)</f>
        <v>180000</v>
      </c>
      <c r="AE28" s="36"/>
      <c r="AF28" s="36"/>
      <c r="AG28" s="36"/>
      <c r="AH28" s="36"/>
      <c r="AI28" s="36"/>
      <c r="AJ28" s="36"/>
      <c r="AK28" s="36"/>
      <c r="AL28" s="36"/>
      <c r="AM28" s="36"/>
      <c r="AN28" s="36"/>
    </row>
    <row r="29" spans="1:42" ht="18" customHeight="1" x14ac:dyDescent="0.25">
      <c r="A29" s="30" t="s">
        <v>16</v>
      </c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6">
        <f>SUM(X15:AC27)</f>
        <v>9000</v>
      </c>
      <c r="AE29" s="36"/>
      <c r="AF29" s="36"/>
      <c r="AG29" s="36"/>
      <c r="AH29" s="36"/>
      <c r="AI29" s="36"/>
      <c r="AJ29" s="36"/>
      <c r="AK29" s="36"/>
      <c r="AL29" s="36"/>
      <c r="AM29" s="36"/>
      <c r="AN29" s="36"/>
    </row>
    <row r="30" spans="1:42" ht="21" customHeight="1" x14ac:dyDescent="0.25">
      <c r="A30" s="30" t="s">
        <v>17</v>
      </c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7">
        <f>SUM(AD28:AN29)</f>
        <v>189000</v>
      </c>
      <c r="AE30" s="37"/>
      <c r="AF30" s="37"/>
      <c r="AG30" s="37"/>
      <c r="AH30" s="37"/>
      <c r="AI30" s="37"/>
      <c r="AJ30" s="37"/>
      <c r="AK30" s="37"/>
      <c r="AL30" s="37"/>
      <c r="AM30" s="37"/>
      <c r="AN30" s="37"/>
    </row>
    <row r="31" spans="1:42" ht="18" customHeight="1" x14ac:dyDescent="0.25">
      <c r="A31" s="30" t="s">
        <v>18</v>
      </c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6">
        <f>IF(AD28&lt;1000000,+AD28-AD30*2%,IF(AD28&lt;5000000,+AD28-AD30*5%,IF(AD28&lt;10000000,+AD28-AD30*10%,IF(AD28&lt;30000000,+AD28-AD30*15%,IF(AD28&gt;30000000,+AD28-AD30*20%)))))</f>
        <v>176220</v>
      </c>
      <c r="AE31" s="36"/>
      <c r="AF31" s="36"/>
      <c r="AG31" s="36"/>
      <c r="AH31" s="36"/>
      <c r="AI31" s="36"/>
      <c r="AJ31" s="36"/>
      <c r="AK31" s="36"/>
      <c r="AL31" s="36"/>
      <c r="AM31" s="36"/>
      <c r="AN31" s="36"/>
    </row>
    <row r="34" spans="2:5" x14ac:dyDescent="0.25">
      <c r="B34" s="46"/>
      <c r="C34" s="46"/>
      <c r="D34" s="46"/>
      <c r="E34" s="46"/>
    </row>
    <row r="35" spans="2:5" x14ac:dyDescent="0.25">
      <c r="B35" s="46"/>
      <c r="C35" s="46"/>
      <c r="D35" s="46"/>
      <c r="E35" s="46"/>
    </row>
  </sheetData>
  <sheetProtection sheet="1" objects="1" scenarios="1"/>
  <protectedRanges>
    <protectedRange sqref="AK5:AM5" name="Rango1"/>
  </protectedRanges>
  <dataConsolidate function="max"/>
  <mergeCells count="94"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  <mergeCell ref="A26:C26"/>
    <mergeCell ref="D26:T26"/>
    <mergeCell ref="U26:W26"/>
    <mergeCell ref="X26:AC26"/>
    <mergeCell ref="AD26:AN26"/>
    <mergeCell ref="A27:C27"/>
    <mergeCell ref="D27:T27"/>
    <mergeCell ref="U27:W27"/>
    <mergeCell ref="X27:AC27"/>
    <mergeCell ref="AD27:AN27"/>
    <mergeCell ref="A24:C24"/>
    <mergeCell ref="D24:T24"/>
    <mergeCell ref="U24:W24"/>
    <mergeCell ref="X24:AC24"/>
    <mergeCell ref="AD24:AN24"/>
    <mergeCell ref="A25:C25"/>
    <mergeCell ref="D25:T25"/>
    <mergeCell ref="U25:W25"/>
    <mergeCell ref="X25:AC25"/>
    <mergeCell ref="AD25:AN25"/>
    <mergeCell ref="A22:C22"/>
    <mergeCell ref="D22:T22"/>
    <mergeCell ref="U22:W22"/>
    <mergeCell ref="X22:AC22"/>
    <mergeCell ref="AD22:AN22"/>
    <mergeCell ref="A23:C23"/>
    <mergeCell ref="D23:T23"/>
    <mergeCell ref="U23:W23"/>
    <mergeCell ref="X23:AC23"/>
    <mergeCell ref="AD23:AN23"/>
    <mergeCell ref="A20:C20"/>
    <mergeCell ref="D20:T20"/>
    <mergeCell ref="U20:W20"/>
    <mergeCell ref="X20:AC20"/>
    <mergeCell ref="AD20:AN20"/>
    <mergeCell ref="A21:C21"/>
    <mergeCell ref="D21:T21"/>
    <mergeCell ref="U21:W21"/>
    <mergeCell ref="X21:AC21"/>
    <mergeCell ref="AD21:AN21"/>
    <mergeCell ref="A18:C18"/>
    <mergeCell ref="D18:T18"/>
    <mergeCell ref="U18:W18"/>
    <mergeCell ref="X18:AC18"/>
    <mergeCell ref="AD18:AN18"/>
    <mergeCell ref="A19:C19"/>
    <mergeCell ref="D19:T19"/>
    <mergeCell ref="U19:W19"/>
    <mergeCell ref="X19:AC19"/>
    <mergeCell ref="AD19:AN19"/>
    <mergeCell ref="A16:C16"/>
    <mergeCell ref="D16:T16"/>
    <mergeCell ref="U16:W16"/>
    <mergeCell ref="X16:AC16"/>
    <mergeCell ref="AD16:AN16"/>
    <mergeCell ref="A17:C17"/>
    <mergeCell ref="D17:T17"/>
    <mergeCell ref="U17:W17"/>
    <mergeCell ref="X17:AC17"/>
    <mergeCell ref="AD17:AN17"/>
    <mergeCell ref="AD14:AN14"/>
    <mergeCell ref="A15:C15"/>
    <mergeCell ref="D15:T15"/>
    <mergeCell ref="U15:W15"/>
    <mergeCell ref="X15:AC15"/>
    <mergeCell ref="AD15:AN15"/>
    <mergeCell ref="F12:H12"/>
    <mergeCell ref="P12:Z12"/>
    <mergeCell ref="A14:C14"/>
    <mergeCell ref="D14:T14"/>
    <mergeCell ref="U14:W14"/>
    <mergeCell ref="X14:AC14"/>
    <mergeCell ref="F9:K9"/>
    <mergeCell ref="P9:Z9"/>
    <mergeCell ref="F10:K10"/>
    <mergeCell ref="P10:Z10"/>
    <mergeCell ref="F11:K11"/>
    <mergeCell ref="P11:Z11"/>
    <mergeCell ref="A1:E6"/>
    <mergeCell ref="AK1:AM1"/>
    <mergeCell ref="AK2:AM2"/>
    <mergeCell ref="O3:Z3"/>
    <mergeCell ref="AK4:AM4"/>
    <mergeCell ref="O5:Y5"/>
    <mergeCell ref="AK5:AM5"/>
  </mergeCells>
  <dataValidations count="2">
    <dataValidation type="list" allowBlank="1" showInputMessage="1" showErrorMessage="1" sqref="AK5:AM5" xr:uid="{E9455CFF-62DA-4493-A553-71BD8E860967}">
      <formula1>Cod_Product</formula1>
    </dataValidation>
    <dataValidation type="custom" allowBlank="1" showInputMessage="1" showErrorMessage="1" sqref="A15:C27" xr:uid="{EFFA5A8C-489D-4B85-9C0E-1C2D1296065A}">
      <formula1>AK4&lt;&gt; ""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G14"/>
  <sheetViews>
    <sheetView zoomScaleNormal="100" workbookViewId="0">
      <selection activeCell="G3" sqref="G3:I3"/>
    </sheetView>
  </sheetViews>
  <sheetFormatPr baseColWidth="10" defaultColWidth="3" defaultRowHeight="15" x14ac:dyDescent="0.25"/>
  <cols>
    <col min="5" max="5" width="9.140625" bestFit="1" customWidth="1"/>
    <col min="6" max="6" width="16.140625" bestFit="1" customWidth="1"/>
    <col min="7" max="7" width="8.28515625" bestFit="1" customWidth="1"/>
    <col min="8" max="33" width="6.42578125" bestFit="1" customWidth="1"/>
    <col min="34" max="45" width="6.42578125" customWidth="1"/>
  </cols>
  <sheetData>
    <row r="1" spans="5:33" x14ac:dyDescent="0.25">
      <c r="E1" s="4">
        <v>1</v>
      </c>
      <c r="F1" s="4">
        <v>2</v>
      </c>
      <c r="G1" s="4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  <c r="Y1" s="4">
        <v>21</v>
      </c>
      <c r="Z1" s="4">
        <v>22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28</v>
      </c>
      <c r="AG1" s="4">
        <v>29</v>
      </c>
    </row>
    <row r="2" spans="5:33" x14ac:dyDescent="0.25">
      <c r="E2" s="14" t="s">
        <v>19</v>
      </c>
      <c r="F2" s="13" t="s">
        <v>20</v>
      </c>
      <c r="G2" s="13" t="s">
        <v>21</v>
      </c>
      <c r="H2" s="15" t="s">
        <v>22</v>
      </c>
      <c r="I2" s="15" t="s">
        <v>23</v>
      </c>
      <c r="J2" s="15" t="s">
        <v>24</v>
      </c>
      <c r="K2" s="15" t="s">
        <v>25</v>
      </c>
      <c r="L2" s="15" t="s">
        <v>26</v>
      </c>
      <c r="M2" s="15" t="s">
        <v>27</v>
      </c>
      <c r="N2" s="15" t="s">
        <v>28</v>
      </c>
      <c r="O2" s="15" t="s">
        <v>29</v>
      </c>
      <c r="P2" s="15" t="s">
        <v>30</v>
      </c>
      <c r="Q2" s="15" t="s">
        <v>31</v>
      </c>
      <c r="R2" s="15" t="s">
        <v>32</v>
      </c>
      <c r="S2" s="15" t="s">
        <v>33</v>
      </c>
      <c r="T2" s="15" t="s">
        <v>34</v>
      </c>
      <c r="U2" s="15" t="s">
        <v>35</v>
      </c>
      <c r="V2" s="15" t="s">
        <v>36</v>
      </c>
      <c r="W2" s="15" t="s">
        <v>37</v>
      </c>
      <c r="X2" s="15" t="s">
        <v>38</v>
      </c>
      <c r="Y2" s="15" t="s">
        <v>39</v>
      </c>
      <c r="Z2" s="15" t="s">
        <v>40</v>
      </c>
      <c r="AA2" s="15" t="s">
        <v>41</v>
      </c>
      <c r="AB2" s="15" t="s">
        <v>42</v>
      </c>
      <c r="AC2" s="15" t="s">
        <v>43</v>
      </c>
      <c r="AD2" s="15" t="s">
        <v>44</v>
      </c>
      <c r="AE2" s="15" t="s">
        <v>45</v>
      </c>
      <c r="AF2" s="15" t="s">
        <v>46</v>
      </c>
      <c r="AG2" s="15" t="s">
        <v>47</v>
      </c>
    </row>
    <row r="3" spans="5:33" x14ac:dyDescent="0.25">
      <c r="E3" s="26">
        <v>11</v>
      </c>
      <c r="F3" s="13" t="s">
        <v>50</v>
      </c>
      <c r="G3" s="27">
        <v>44786</v>
      </c>
      <c r="H3" s="28"/>
      <c r="I3" s="28"/>
      <c r="J3" s="28"/>
      <c r="K3" s="28"/>
      <c r="L3" s="28"/>
      <c r="M3" s="28" t="s">
        <v>51</v>
      </c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>
        <v>1</v>
      </c>
      <c r="AA3" s="28"/>
      <c r="AB3" s="28"/>
      <c r="AC3" s="28"/>
      <c r="AD3" s="28"/>
      <c r="AE3" s="28"/>
      <c r="AF3" s="28"/>
      <c r="AG3" s="28"/>
    </row>
    <row r="4" spans="5:33" x14ac:dyDescent="0.25">
      <c r="E4" s="26">
        <v>10</v>
      </c>
      <c r="F4" s="13" t="s">
        <v>76</v>
      </c>
      <c r="G4" s="27">
        <v>44786</v>
      </c>
      <c r="H4" s="28"/>
      <c r="I4" s="28"/>
      <c r="J4" s="28"/>
      <c r="K4" s="28"/>
      <c r="L4" s="28"/>
      <c r="M4" s="28"/>
      <c r="N4" s="28" t="s">
        <v>51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>
        <v>1</v>
      </c>
      <c r="AB4" s="28"/>
      <c r="AC4" s="28"/>
      <c r="AD4" s="28"/>
      <c r="AE4" s="28"/>
      <c r="AF4" s="28"/>
      <c r="AG4" s="28"/>
    </row>
    <row r="5" spans="5:33" x14ac:dyDescent="0.25">
      <c r="E5" s="26">
        <v>9</v>
      </c>
      <c r="F5" s="13" t="s">
        <v>48</v>
      </c>
      <c r="G5" s="27">
        <v>44786</v>
      </c>
      <c r="H5" s="28"/>
      <c r="I5" s="28"/>
      <c r="J5" s="28"/>
      <c r="K5" s="28"/>
      <c r="L5" s="28"/>
      <c r="M5" s="28"/>
      <c r="N5" s="28" t="s">
        <v>49</v>
      </c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>
        <v>1</v>
      </c>
      <c r="AB5" s="28"/>
      <c r="AC5" s="28"/>
      <c r="AD5" s="28"/>
      <c r="AE5" s="28"/>
      <c r="AF5" s="28"/>
      <c r="AG5" s="28"/>
    </row>
    <row r="6" spans="5:33" x14ac:dyDescent="0.25">
      <c r="E6" s="26">
        <v>8</v>
      </c>
      <c r="F6" s="13" t="s">
        <v>50</v>
      </c>
      <c r="G6" s="27">
        <v>44786</v>
      </c>
      <c r="H6" s="28"/>
      <c r="I6" s="28"/>
      <c r="J6" s="28"/>
      <c r="K6" s="28"/>
      <c r="L6" s="28"/>
      <c r="M6" s="28"/>
      <c r="N6" s="28" t="s">
        <v>51</v>
      </c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>
        <v>1</v>
      </c>
      <c r="AB6" s="28"/>
      <c r="AC6" s="28"/>
      <c r="AD6" s="28"/>
      <c r="AE6" s="28"/>
      <c r="AF6" s="28"/>
      <c r="AG6" s="28"/>
    </row>
    <row r="7" spans="5:33" x14ac:dyDescent="0.25">
      <c r="E7" s="26">
        <v>7</v>
      </c>
      <c r="F7" s="13" t="s">
        <v>48</v>
      </c>
      <c r="G7" s="27">
        <v>44786</v>
      </c>
      <c r="H7" s="28"/>
      <c r="I7" s="28"/>
      <c r="J7" s="28"/>
      <c r="K7" s="28"/>
      <c r="L7" s="28"/>
      <c r="M7" s="28" t="s">
        <v>83</v>
      </c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>
        <v>1</v>
      </c>
      <c r="AA7" s="28"/>
      <c r="AB7" s="28"/>
      <c r="AC7" s="28"/>
      <c r="AD7" s="28"/>
      <c r="AE7" s="28"/>
      <c r="AF7" s="28"/>
      <c r="AG7" s="28"/>
    </row>
    <row r="8" spans="5:33" x14ac:dyDescent="0.25">
      <c r="E8" s="26">
        <v>6</v>
      </c>
      <c r="F8" s="13" t="s">
        <v>69</v>
      </c>
      <c r="G8" s="27">
        <v>44786</v>
      </c>
      <c r="H8" s="28"/>
      <c r="I8" s="28"/>
      <c r="J8" s="28"/>
      <c r="K8" s="28"/>
      <c r="L8" s="28"/>
      <c r="M8" s="28" t="s">
        <v>51</v>
      </c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>
        <v>1</v>
      </c>
      <c r="AA8" s="28"/>
      <c r="AB8" s="28"/>
      <c r="AC8" s="28"/>
      <c r="AD8" s="28"/>
      <c r="AE8" s="28"/>
      <c r="AF8" s="28"/>
      <c r="AG8" s="28"/>
    </row>
    <row r="9" spans="5:33" x14ac:dyDescent="0.25">
      <c r="E9" s="26">
        <v>5</v>
      </c>
      <c r="F9" s="13" t="s">
        <v>66</v>
      </c>
      <c r="G9" s="27">
        <v>44786</v>
      </c>
      <c r="H9" s="28" t="s">
        <v>49</v>
      </c>
      <c r="I9" s="28"/>
      <c r="J9" s="28" t="s">
        <v>49</v>
      </c>
      <c r="K9" s="28"/>
      <c r="L9" s="28" t="s">
        <v>51</v>
      </c>
      <c r="M9" s="28"/>
      <c r="N9" s="28"/>
      <c r="O9" s="28"/>
      <c r="P9" s="28" t="s">
        <v>85</v>
      </c>
      <c r="Q9" s="28"/>
      <c r="R9" s="28"/>
      <c r="S9" s="28"/>
      <c r="T9" s="28"/>
      <c r="U9" s="28">
        <v>1</v>
      </c>
      <c r="V9" s="28"/>
      <c r="W9" s="28">
        <v>1</v>
      </c>
      <c r="X9" s="28"/>
      <c r="Y9" s="28">
        <v>1</v>
      </c>
      <c r="Z9" s="28"/>
      <c r="AA9" s="28"/>
      <c r="AB9" s="28"/>
      <c r="AC9" s="28">
        <v>1</v>
      </c>
      <c r="AD9" s="28"/>
      <c r="AE9" s="28"/>
      <c r="AF9" s="28"/>
      <c r="AG9" s="28"/>
    </row>
    <row r="10" spans="5:33" x14ac:dyDescent="0.25">
      <c r="E10" s="26">
        <v>4</v>
      </c>
      <c r="F10" s="13" t="s">
        <v>69</v>
      </c>
      <c r="G10" s="27">
        <v>44786</v>
      </c>
      <c r="H10" s="28"/>
      <c r="I10" s="28"/>
      <c r="J10" s="28"/>
      <c r="K10" s="28"/>
      <c r="L10" s="28"/>
      <c r="M10" s="28"/>
      <c r="N10" s="28"/>
      <c r="O10" s="28" t="s">
        <v>51</v>
      </c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>
        <v>1</v>
      </c>
      <c r="AC10" s="28"/>
      <c r="AD10" s="28"/>
      <c r="AE10" s="28"/>
      <c r="AF10" s="28"/>
      <c r="AG10" s="28"/>
    </row>
    <row r="11" spans="5:33" x14ac:dyDescent="0.25">
      <c r="E11" s="26">
        <v>3</v>
      </c>
      <c r="F11" s="13" t="s">
        <v>48</v>
      </c>
      <c r="G11" s="27">
        <v>44786</v>
      </c>
      <c r="H11" s="28"/>
      <c r="I11" s="28"/>
      <c r="J11" s="28"/>
      <c r="K11" s="28"/>
      <c r="L11" s="28"/>
      <c r="M11" s="28"/>
      <c r="N11" s="28"/>
      <c r="O11" s="28" t="s">
        <v>49</v>
      </c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>
        <v>1</v>
      </c>
      <c r="AC11" s="28"/>
      <c r="AD11" s="28"/>
      <c r="AE11" s="28"/>
      <c r="AF11" s="28"/>
      <c r="AG11" s="28"/>
    </row>
    <row r="12" spans="5:33" x14ac:dyDescent="0.25">
      <c r="E12" s="26">
        <v>2</v>
      </c>
      <c r="F12" s="13" t="s">
        <v>79</v>
      </c>
      <c r="G12" s="27">
        <v>44786</v>
      </c>
      <c r="H12" s="28"/>
      <c r="I12" s="28"/>
      <c r="J12" s="28"/>
      <c r="K12" s="28"/>
      <c r="L12" s="28"/>
      <c r="M12" s="28" t="s">
        <v>52</v>
      </c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>
        <v>1</v>
      </c>
      <c r="AA12" s="28"/>
      <c r="AB12" s="28"/>
      <c r="AC12" s="28"/>
      <c r="AD12" s="28"/>
      <c r="AE12" s="28"/>
      <c r="AF12" s="28"/>
      <c r="AG12" s="28"/>
    </row>
    <row r="13" spans="5:33" x14ac:dyDescent="0.25">
      <c r="E13" s="26">
        <v>1</v>
      </c>
      <c r="F13" s="13" t="s">
        <v>69</v>
      </c>
      <c r="G13" s="27">
        <v>44786</v>
      </c>
      <c r="H13" s="28" t="s">
        <v>85</v>
      </c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>
        <v>1</v>
      </c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</row>
    <row r="14" spans="5:33" x14ac:dyDescent="0.25">
      <c r="E14" s="26">
        <v>0</v>
      </c>
      <c r="F14" s="13" t="s">
        <v>50</v>
      </c>
      <c r="G14" s="27">
        <v>44786</v>
      </c>
      <c r="H14" s="28"/>
      <c r="I14" s="28" t="s">
        <v>85</v>
      </c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>
        <v>1</v>
      </c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</row>
  </sheetData>
  <dataConsolidate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E18" sqref="E18"/>
    </sheetView>
  </sheetViews>
  <sheetFormatPr baseColWidth="10" defaultColWidth="11.42578125" defaultRowHeight="15" x14ac:dyDescent="0.25"/>
  <cols>
    <col min="2" max="2" width="16.140625" bestFit="1" customWidth="1"/>
    <col min="3" max="3" width="17.28515625" bestFit="1" customWidth="1"/>
    <col min="4" max="4" width="15.140625" customWidth="1"/>
    <col min="5" max="5" width="17.28515625" bestFit="1" customWidth="1"/>
  </cols>
  <sheetData>
    <row r="4" spans="2:5" x14ac:dyDescent="0.25">
      <c r="B4" s="19" t="s">
        <v>20</v>
      </c>
      <c r="C4" s="20" t="s">
        <v>63</v>
      </c>
      <c r="D4" s="20" t="s">
        <v>64</v>
      </c>
      <c r="E4" s="13" t="s">
        <v>65</v>
      </c>
    </row>
    <row r="5" spans="2:5" x14ac:dyDescent="0.25">
      <c r="B5" s="18" t="s">
        <v>66</v>
      </c>
      <c r="C5" s="8">
        <v>1025461380</v>
      </c>
      <c r="D5" s="4" t="s">
        <v>67</v>
      </c>
      <c r="E5" s="12" t="s">
        <v>68</v>
      </c>
    </row>
    <row r="6" spans="2:5" x14ac:dyDescent="0.25">
      <c r="B6" s="18" t="s">
        <v>69</v>
      </c>
      <c r="C6" s="8">
        <v>1098926370</v>
      </c>
      <c r="D6" s="4" t="s">
        <v>70</v>
      </c>
      <c r="E6" s="12" t="s">
        <v>71</v>
      </c>
    </row>
    <row r="7" spans="2:5" x14ac:dyDescent="0.25">
      <c r="B7" s="18" t="s">
        <v>48</v>
      </c>
      <c r="C7" s="8">
        <v>5227080</v>
      </c>
      <c r="D7" s="4" t="s">
        <v>72</v>
      </c>
      <c r="E7" s="12" t="s">
        <v>73</v>
      </c>
    </row>
    <row r="8" spans="2:5" x14ac:dyDescent="0.25">
      <c r="B8" s="18" t="s">
        <v>50</v>
      </c>
      <c r="C8" s="8">
        <v>8935048</v>
      </c>
      <c r="D8" s="4" t="s">
        <v>74</v>
      </c>
      <c r="E8" s="12" t="s">
        <v>75</v>
      </c>
    </row>
    <row r="9" spans="2:5" x14ac:dyDescent="0.25">
      <c r="B9" s="18" t="s">
        <v>76</v>
      </c>
      <c r="C9" s="8">
        <v>10093674</v>
      </c>
      <c r="D9" s="4" t="s">
        <v>77</v>
      </c>
      <c r="E9" s="12" t="s">
        <v>78</v>
      </c>
    </row>
    <row r="10" spans="2:5" x14ac:dyDescent="0.25">
      <c r="B10" s="17" t="s">
        <v>79</v>
      </c>
      <c r="C10" s="21">
        <v>1000554334</v>
      </c>
      <c r="D10" s="22" t="s">
        <v>80</v>
      </c>
      <c r="E10" s="16" t="s">
        <v>81</v>
      </c>
    </row>
  </sheetData>
  <pageMargins left="0.7" right="0.7" top="0.75" bottom="0.75" header="0.3" footer="0.3"/>
  <pageSetup paperSize="9" fitToWidth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2578125" defaultRowHeight="15" x14ac:dyDescent="0.25"/>
  <cols>
    <col min="3" max="3" width="37.5703125" bestFit="1" customWidth="1"/>
    <col min="5" max="5" width="14.5703125" bestFit="1" customWidth="1"/>
  </cols>
  <sheetData>
    <row r="4" spans="2:5" x14ac:dyDescent="0.25">
      <c r="B4" s="19" t="s">
        <v>10</v>
      </c>
      <c r="C4" s="23" t="s">
        <v>82</v>
      </c>
      <c r="D4" s="20" t="s">
        <v>13</v>
      </c>
      <c r="E4" s="23" t="s">
        <v>14</v>
      </c>
    </row>
    <row r="5" spans="2:5" x14ac:dyDescent="0.25">
      <c r="B5" s="18" t="s">
        <v>83</v>
      </c>
      <c r="C5" s="4" t="s">
        <v>84</v>
      </c>
      <c r="D5" s="5">
        <v>0.05</v>
      </c>
      <c r="E5" s="6">
        <v>180000</v>
      </c>
    </row>
    <row r="6" spans="2:5" x14ac:dyDescent="0.25">
      <c r="B6" s="18" t="s">
        <v>85</v>
      </c>
      <c r="C6" s="4" t="s">
        <v>86</v>
      </c>
      <c r="D6" s="5">
        <v>0.08</v>
      </c>
      <c r="E6" s="6">
        <v>470000</v>
      </c>
    </row>
    <row r="7" spans="2:5" x14ac:dyDescent="0.25">
      <c r="B7" s="18" t="s">
        <v>49</v>
      </c>
      <c r="C7" s="4" t="s">
        <v>87</v>
      </c>
      <c r="D7" s="5">
        <v>0.1</v>
      </c>
      <c r="E7" s="6">
        <v>250000</v>
      </c>
    </row>
    <row r="8" spans="2:5" x14ac:dyDescent="0.25">
      <c r="B8" s="18" t="s">
        <v>51</v>
      </c>
      <c r="C8" s="4" t="s">
        <v>88</v>
      </c>
      <c r="D8" s="5">
        <v>0.15</v>
      </c>
      <c r="E8" s="6">
        <v>130000</v>
      </c>
    </row>
    <row r="9" spans="2:5" x14ac:dyDescent="0.25">
      <c r="B9" s="18" t="s">
        <v>52</v>
      </c>
      <c r="C9" s="4" t="s">
        <v>89</v>
      </c>
      <c r="D9" s="5">
        <v>0.04</v>
      </c>
      <c r="E9" s="6">
        <v>240000</v>
      </c>
    </row>
    <row r="10" spans="2:5" x14ac:dyDescent="0.25">
      <c r="B10" s="18" t="s">
        <v>53</v>
      </c>
      <c r="C10" s="4" t="s">
        <v>90</v>
      </c>
      <c r="D10" s="5">
        <v>0.16</v>
      </c>
      <c r="E10" s="6">
        <v>2000000</v>
      </c>
    </row>
    <row r="11" spans="2:5" x14ac:dyDescent="0.25">
      <c r="B11" s="18" t="s">
        <v>54</v>
      </c>
      <c r="C11" s="4" t="s">
        <v>91</v>
      </c>
      <c r="D11" s="5">
        <v>0.02</v>
      </c>
      <c r="E11" s="6">
        <v>2500000</v>
      </c>
    </row>
    <row r="12" spans="2:5" x14ac:dyDescent="0.25">
      <c r="B12" s="18" t="s">
        <v>55</v>
      </c>
      <c r="C12" s="4" t="s">
        <v>92</v>
      </c>
      <c r="D12" s="5">
        <v>0.04</v>
      </c>
      <c r="E12" s="6">
        <v>180007</v>
      </c>
    </row>
    <row r="13" spans="2:5" x14ac:dyDescent="0.25">
      <c r="B13" s="18" t="s">
        <v>56</v>
      </c>
      <c r="C13" s="4" t="s">
        <v>93</v>
      </c>
      <c r="D13" s="5">
        <v>0.08</v>
      </c>
      <c r="E13" s="6">
        <v>400000</v>
      </c>
    </row>
    <row r="14" spans="2:5" x14ac:dyDescent="0.25">
      <c r="B14" s="18" t="s">
        <v>57</v>
      </c>
      <c r="C14" s="4" t="s">
        <v>94</v>
      </c>
      <c r="D14" s="5">
        <v>0.04</v>
      </c>
      <c r="E14" s="6">
        <v>120000</v>
      </c>
    </row>
    <row r="15" spans="2:5" x14ac:dyDescent="0.25">
      <c r="B15" s="18" t="s">
        <v>58</v>
      </c>
      <c r="C15" s="4" t="s">
        <v>95</v>
      </c>
      <c r="D15" s="5">
        <v>0.11</v>
      </c>
      <c r="E15" s="6">
        <v>200000</v>
      </c>
    </row>
    <row r="16" spans="2:5" x14ac:dyDescent="0.25">
      <c r="B16" s="18" t="s">
        <v>59</v>
      </c>
      <c r="C16" s="4" t="s">
        <v>96</v>
      </c>
      <c r="D16" s="5">
        <v>0.12</v>
      </c>
      <c r="E16" s="6">
        <v>500000</v>
      </c>
    </row>
    <row r="17" spans="2:9" x14ac:dyDescent="0.25">
      <c r="B17" s="18" t="s">
        <v>60</v>
      </c>
      <c r="C17" s="4" t="s">
        <v>97</v>
      </c>
      <c r="D17" s="5">
        <v>0.13</v>
      </c>
      <c r="E17" s="6">
        <v>350000</v>
      </c>
    </row>
    <row r="18" spans="2:9" x14ac:dyDescent="0.25">
      <c r="B18" s="18" t="s">
        <v>61</v>
      </c>
      <c r="C18" s="4" t="s">
        <v>97</v>
      </c>
      <c r="D18" s="5">
        <v>1.1299999999999999</v>
      </c>
      <c r="E18" s="6">
        <v>350001</v>
      </c>
    </row>
    <row r="19" spans="2:9" x14ac:dyDescent="0.25">
      <c r="B19" s="17" t="s">
        <v>62</v>
      </c>
      <c r="C19" s="22" t="s">
        <v>97</v>
      </c>
      <c r="D19" s="24">
        <v>2.13</v>
      </c>
      <c r="E19" s="25">
        <v>350002</v>
      </c>
    </row>
    <row r="22" spans="2:9" x14ac:dyDescent="0.25">
      <c r="I22" t="s">
        <v>4</v>
      </c>
    </row>
  </sheetData>
  <phoneticPr fontId="3" type="noConversion"/>
  <pageMargins left="0.7" right="0.7" top="0.75" bottom="0.75" header="0.3" footer="0.3"/>
  <pageSetup paperSize="9" fitToWidth="0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NUEVA</vt:lpstr>
      <vt:lpstr>BUSQUEDA</vt:lpstr>
      <vt:lpstr>FACTURAS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2022-08-13T18:35:01Z</dcterms:modified>
  <cp:category/>
  <cp:contentStatus/>
</cp:coreProperties>
</file>
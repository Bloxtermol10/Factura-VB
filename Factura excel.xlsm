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14" documentId="13_ncr:1_{C374DD79-F7C2-4689-94F5-64120680C989}" xr6:coauthVersionLast="47" xr6:coauthVersionMax="47" xr10:uidLastSave="{5579907F-2A02-440F-9707-CD58E5848A68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FACTURAS!$E$3:$E$13</definedName>
    <definedName name="_xlnm._FilterDatabase" localSheetId="0" hidden="1">NUEVA!$D$15:$T$27</definedName>
    <definedName name="Cod_Product">FACTURAS!$E$3:$E$13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0" i="10" l="1"/>
  <c r="U16" i="10"/>
  <c r="U15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1" i="2"/>
  <c r="D22" i="2"/>
  <c r="D23" i="2"/>
  <c r="D24" i="2"/>
  <c r="D25" i="2"/>
  <c r="D26" i="2"/>
  <c r="D15" i="2"/>
  <c r="U27" i="10"/>
  <c r="U26" i="10"/>
  <c r="U25" i="10"/>
  <c r="U24" i="10"/>
  <c r="U23" i="10"/>
  <c r="U22" i="10"/>
  <c r="U21" i="10"/>
  <c r="U20" i="10"/>
  <c r="U19" i="10"/>
  <c r="U18" i="10"/>
  <c r="U17" i="10"/>
  <c r="A27" i="10"/>
  <c r="A26" i="10"/>
  <c r="A25" i="10"/>
  <c r="D25" i="10" s="1"/>
  <c r="A24" i="10"/>
  <c r="A23" i="10"/>
  <c r="A22" i="10"/>
  <c r="A21" i="10"/>
  <c r="D21" i="10" s="1"/>
  <c r="A19" i="10"/>
  <c r="A18" i="10"/>
  <c r="A17" i="10"/>
  <c r="D17" i="10" s="1"/>
  <c r="A16" i="10"/>
  <c r="A15" i="10"/>
  <c r="P9" i="10"/>
  <c r="P10" i="10" s="1"/>
  <c r="P11" i="10" s="1"/>
  <c r="P12" i="10" s="1"/>
  <c r="AK2" i="10"/>
  <c r="AK2" i="2"/>
  <c r="X26" i="10" l="1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X25" i="10"/>
  <c r="AD25" i="10" s="1"/>
  <c r="X21" i="10"/>
  <c r="AD21" i="10" s="1"/>
  <c r="X17" i="10"/>
  <c r="AD17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<sst xmlns="http://schemas.openxmlformats.org/spreadsheetml/2006/main" count="155" uniqueCount="99">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</sst>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165" fontId="0" fillId="0" borderId="10" xfId="0" applyNumberFormat="1" applyBorder="1"/>
    <xf numFmtId="0" fontId="0" fillId="0" borderId="13" xfId="0" applyBorder="1" applyAlignment="1">
      <alignment horizontal="center" vertical="center"/>
    </xf>
    <xf numFmtId="166" fontId="0" fillId="3" borderId="14" xfId="0" applyNumberFormat="1" applyFill="1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13" totalsRowShown="0" headerRowDxfId="47" dataDxfId="46" tableBorderDxfId="45">
  <autoFilter ref="E2:AG13" xr:uid="{0CD457BA-9725-4E16-BBBC-4B55AB6B05BA}"/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U15" sqref="U15:W27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7"/>
      <c r="B1" s="31"/>
      <c r="C1" s="31"/>
      <c r="D1" s="31"/>
      <c r="E1" s="3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1" t="s">
        <v>0</v>
      </c>
      <c r="AL1" s="31"/>
      <c r="AM1" s="31"/>
      <c r="AN1" s="10"/>
    </row>
    <row r="2" spans="1:42" x14ac:dyDescent="0.25">
      <c r="A2" s="38"/>
      <c r="B2" s="30"/>
      <c r="C2" s="30"/>
      <c r="D2" s="30"/>
      <c r="E2" s="30"/>
      <c r="AK2" s="40">
        <f ca="1">TODAY()</f>
        <v>44786</v>
      </c>
      <c r="AL2" s="40"/>
      <c r="AM2" s="40"/>
      <c r="AN2" s="9"/>
    </row>
    <row r="3" spans="1:42" x14ac:dyDescent="0.25">
      <c r="A3" s="38"/>
      <c r="B3" s="30"/>
      <c r="C3" s="30"/>
      <c r="D3" s="30"/>
      <c r="E3" s="30"/>
      <c r="O3" s="34" t="s">
        <v>1</v>
      </c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N3" s="3"/>
    </row>
    <row r="4" spans="1:42" x14ac:dyDescent="0.25">
      <c r="A4" s="38"/>
      <c r="B4" s="30"/>
      <c r="C4" s="30"/>
      <c r="D4" s="30"/>
      <c r="E4" s="30"/>
      <c r="AK4" s="30" t="s">
        <v>2</v>
      </c>
      <c r="AL4" s="30"/>
      <c r="AM4" s="30"/>
      <c r="AN4" s="3"/>
    </row>
    <row r="5" spans="1:42" ht="15" customHeight="1" x14ac:dyDescent="0.25">
      <c r="A5" s="38"/>
      <c r="B5" s="30"/>
      <c r="C5" s="30"/>
      <c r="D5" s="30"/>
      <c r="E5" s="30"/>
      <c r="O5" s="30" t="s">
        <v>3</v>
      </c>
      <c r="P5" s="30"/>
      <c r="Q5" s="30"/>
      <c r="R5" s="30"/>
      <c r="S5" s="30"/>
      <c r="T5" s="30"/>
      <c r="U5" s="30"/>
      <c r="V5" s="30"/>
      <c r="W5" s="30"/>
      <c r="X5" s="30"/>
      <c r="Y5" s="30"/>
      <c r="AJ5" t="s">
        <v>4</v>
      </c>
      <c r="AK5" s="29">
        <v>10</v>
      </c>
      <c r="AL5" s="29"/>
      <c r="AM5" s="29"/>
      <c r="AN5" s="3"/>
    </row>
    <row r="6" spans="1:42" x14ac:dyDescent="0.25">
      <c r="A6" s="38"/>
      <c r="B6" s="30"/>
      <c r="C6" s="30"/>
      <c r="D6" s="30"/>
      <c r="E6" s="30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5" t="s">
        <v>5</v>
      </c>
      <c r="G9" s="35"/>
      <c r="H9" s="35"/>
      <c r="I9" s="35"/>
      <c r="J9" s="35"/>
      <c r="K9" s="35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N9" s="3"/>
    </row>
    <row r="10" spans="1:42" ht="15.75" thickBot="1" x14ac:dyDescent="0.3">
      <c r="A10" s="2"/>
      <c r="F10" s="35" t="s">
        <v>6</v>
      </c>
      <c r="G10" s="35"/>
      <c r="H10" s="35"/>
      <c r="I10" s="35"/>
      <c r="J10" s="35"/>
      <c r="K10" s="35"/>
      <c r="P10" s="31" t="str">
        <f>IF(P9="","",VLOOKUP(P9,M_Empleados[],2,FALSE))</f>
        <v/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N10" s="3"/>
      <c r="AO10" t="s">
        <v>7</v>
      </c>
    </row>
    <row r="11" spans="1:42" ht="15.75" thickBot="1" x14ac:dyDescent="0.3">
      <c r="A11" s="2"/>
      <c r="F11" s="35" t="s">
        <v>8</v>
      </c>
      <c r="G11" s="35"/>
      <c r="H11" s="35"/>
      <c r="I11" s="35"/>
      <c r="J11" s="35"/>
      <c r="K11" s="35"/>
      <c r="P11" s="31" t="str">
        <f>IF(P10="","",VLOOKUP(P9,M_Empleados[],3,FALSE))</f>
        <v/>
      </c>
      <c r="Q11" s="31"/>
      <c r="R11" s="31"/>
      <c r="S11" s="31"/>
      <c r="T11" s="31"/>
      <c r="U11" s="31"/>
      <c r="V11" s="31"/>
      <c r="W11" s="31"/>
      <c r="X11" s="31"/>
      <c r="Y11" s="31"/>
      <c r="Z11" s="31"/>
      <c r="AN11" s="3"/>
    </row>
    <row r="12" spans="1:42" ht="15.75" thickBot="1" x14ac:dyDescent="0.3">
      <c r="A12" s="2"/>
      <c r="F12" s="35" t="s">
        <v>9</v>
      </c>
      <c r="G12" s="35"/>
      <c r="H12" s="35"/>
      <c r="I12" s="7"/>
      <c r="J12" s="7"/>
      <c r="K12" s="7"/>
      <c r="P12" s="39" t="str">
        <f>IF(P11="","",VLOOKUP(P9,M_Empleados[],4,FALSE))</f>
        <v/>
      </c>
      <c r="Q12" s="39"/>
      <c r="R12" s="39"/>
      <c r="S12" s="39"/>
      <c r="T12" s="39"/>
      <c r="U12" s="39"/>
      <c r="V12" s="39"/>
      <c r="W12" s="39"/>
      <c r="X12" s="39"/>
      <c r="Y12" s="39"/>
      <c r="Z12" s="39"/>
      <c r="AN12" s="3"/>
    </row>
    <row r="13" spans="1:42" x14ac:dyDescent="0.25">
      <c r="A13" s="2"/>
      <c r="AN13" s="3"/>
    </row>
    <row r="14" spans="1:42" x14ac:dyDescent="0.25">
      <c r="A14" s="33" t="s">
        <v>10</v>
      </c>
      <c r="B14" s="33"/>
      <c r="C14" s="33"/>
      <c r="D14" s="33" t="s">
        <v>11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 t="s">
        <v>12</v>
      </c>
      <c r="V14" s="33"/>
      <c r="W14" s="33"/>
      <c r="X14" s="33" t="s">
        <v>13</v>
      </c>
      <c r="Y14" s="33"/>
      <c r="Z14" s="33"/>
      <c r="AA14" s="33"/>
      <c r="AB14" s="33"/>
      <c r="AC14" s="33"/>
      <c r="AD14" s="33" t="s">
        <v>14</v>
      </c>
      <c r="AE14" s="33"/>
      <c r="AF14" s="33"/>
      <c r="AG14" s="33"/>
      <c r="AH14" s="33"/>
      <c r="AI14" s="33"/>
      <c r="AJ14" s="33"/>
      <c r="AK14" s="33"/>
      <c r="AL14" s="33"/>
      <c r="AM14" s="33"/>
      <c r="AN14" s="33"/>
    </row>
    <row r="15" spans="1:42" x14ac:dyDescent="0.25">
      <c r="A15" s="41"/>
      <c r="B15" s="41"/>
      <c r="C15" s="41"/>
      <c r="D15" s="42" t="str">
        <f>IF(A15="","",(VLOOKUP(A15,M_Productos[],2,FALSE)))</f>
        <v/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4"/>
      <c r="V15" s="45"/>
      <c r="W15" s="46"/>
      <c r="X15" s="43" t="str">
        <f>IF(A15="","",(VLOOKUP(A15,M_Productos[],4,FALSE)*VLOOKUP($A15,M_Productos[],3,FALSE)*U15))</f>
        <v/>
      </c>
      <c r="Y15" s="43"/>
      <c r="Z15" s="43"/>
      <c r="AA15" s="43"/>
      <c r="AB15" s="43"/>
      <c r="AC15" s="43"/>
      <c r="AD15" s="43" t="str">
        <f>IF(A15="","",((VLOOKUP(A15,M_Productos[],4,FALSE) + X15)*U15))</f>
        <v/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P15" s="11"/>
    </row>
    <row r="16" spans="1:42" x14ac:dyDescent="0.25">
      <c r="A16" s="41"/>
      <c r="B16" s="41"/>
      <c r="C16" s="41"/>
      <c r="D16" s="42" t="str">
        <f>IF(A16="","",(VLOOKUP(A16,M_Productos[],2,FALSE)))</f>
        <v/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4"/>
      <c r="V16" s="45"/>
      <c r="W16" s="46"/>
      <c r="X16" s="43" t="str">
        <f>IF(A16="","",(VLOOKUP(A16,M_Productos[],4,FALSE)*VLOOKUP($A16,M_Productos[],3,FALSE)*U16))</f>
        <v/>
      </c>
      <c r="Y16" s="43"/>
      <c r="Z16" s="43"/>
      <c r="AA16" s="43"/>
      <c r="AB16" s="43"/>
      <c r="AC16" s="43"/>
      <c r="AD16" s="43" t="str">
        <f>IF(A16="","",((VLOOKUP(A16,M_Productos[],4,FALSE) + X16)*U16))</f>
        <v/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P16" s="11"/>
    </row>
    <row r="17" spans="1:42" x14ac:dyDescent="0.25">
      <c r="A17" s="41"/>
      <c r="B17" s="41"/>
      <c r="C17" s="41"/>
      <c r="D17" s="42" t="str">
        <f>IF(A17="","",(VLOOKUP(A17,M_Productos[],2,FALSE)))</f>
        <v/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4"/>
      <c r="V17" s="45"/>
      <c r="W17" s="46"/>
      <c r="X17" s="43" t="str">
        <f>IF(A17="","",(VLOOKUP(A17,M_Productos[],4,FALSE)*VLOOKUP($A17,M_Productos[],3,FALSE)*U17))</f>
        <v/>
      </c>
      <c r="Y17" s="43"/>
      <c r="Z17" s="43"/>
      <c r="AA17" s="43"/>
      <c r="AB17" s="43"/>
      <c r="AC17" s="43"/>
      <c r="AD17" s="43" t="str">
        <f>IF(A17="","",((VLOOKUP(A17,M_Productos[],4,FALSE) + X17)*U17))</f>
        <v/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P17" s="11"/>
    </row>
    <row r="18" spans="1:42" x14ac:dyDescent="0.25">
      <c r="A18" s="41"/>
      <c r="B18" s="41"/>
      <c r="C18" s="41"/>
      <c r="D18" s="42" t="str">
        <f>IF(A18="","",(VLOOKUP(A18,M_Productos[],2,FALSE)))</f>
        <v/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4"/>
      <c r="V18" s="45"/>
      <c r="W18" s="46"/>
      <c r="X18" s="43" t="str">
        <f>IF(A18="","",(VLOOKUP(A18,M_Productos[],4,FALSE)*VLOOKUP($A18,M_Productos[],3,FALSE)*U18))</f>
        <v/>
      </c>
      <c r="Y18" s="43"/>
      <c r="Z18" s="43"/>
      <c r="AA18" s="43"/>
      <c r="AB18" s="43"/>
      <c r="AC18" s="43"/>
      <c r="AD18" s="43" t="str">
        <f>IF(A18="","",((VLOOKUP(A18,M_Productos[],4,FALSE) + X18)*U18))</f>
        <v/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P18" s="11"/>
    </row>
    <row r="19" spans="1:42" x14ac:dyDescent="0.25">
      <c r="A19" s="41"/>
      <c r="B19" s="41"/>
      <c r="C19" s="41"/>
      <c r="D19" s="42" t="str">
        <f>IF(A19="","",(VLOOKUP(A19,M_Productos[],2,FALSE)))</f>
        <v/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4"/>
      <c r="V19" s="45"/>
      <c r="W19" s="46"/>
      <c r="X19" s="43" t="str">
        <f>IF(A19="","",(VLOOKUP(A19,M_Productos[],4,FALSE)*VLOOKUP($A19,M_Productos[],3,FALSE)*U19))</f>
        <v/>
      </c>
      <c r="Y19" s="43"/>
      <c r="Z19" s="43"/>
      <c r="AA19" s="43"/>
      <c r="AB19" s="43"/>
      <c r="AC19" s="43"/>
      <c r="AD19" s="43" t="str">
        <f>IF(A19="","",((VLOOKUP(A19,M_Productos[],4,FALSE) + X19)*U19))</f>
        <v/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P19" s="11"/>
    </row>
    <row r="20" spans="1:42" x14ac:dyDescent="0.25">
      <c r="A20" s="41"/>
      <c r="B20" s="41"/>
      <c r="C20" s="41"/>
      <c r="D20" s="42" t="str">
        <f>IF(A20="","",(VLOOKUP(A20,M_Productos[],2,FALSE)))</f>
        <v/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4"/>
      <c r="V20" s="45"/>
      <c r="W20" s="46"/>
      <c r="X20" s="43" t="str">
        <f>IF(A20="","",(VLOOKUP(A20,M_Productos[],4,FALSE)*VLOOKUP($A20,M_Productos[],3,FALSE)*U20))</f>
        <v/>
      </c>
      <c r="Y20" s="43"/>
      <c r="Z20" s="43"/>
      <c r="AA20" s="43"/>
      <c r="AB20" s="43"/>
      <c r="AC20" s="43"/>
      <c r="AD20" s="43" t="str">
        <f>IF(A20="","",((VLOOKUP(A20,M_Productos[],4,FALSE) + X20)*U20))</f>
        <v/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P20" s="11"/>
    </row>
    <row r="21" spans="1:42" x14ac:dyDescent="0.25">
      <c r="A21" s="41"/>
      <c r="B21" s="41"/>
      <c r="C21" s="41"/>
      <c r="D21" s="42" t="str">
        <f>IF(A21="","",(VLOOKUP(A21,M_Productos[],2,FALSE)))</f>
        <v/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4"/>
      <c r="V21" s="45"/>
      <c r="W21" s="46"/>
      <c r="X21" s="43" t="str">
        <f>IF(A21="","",(VLOOKUP(A21,M_Productos[],4,FALSE)*VLOOKUP($A21,M_Productos[],3,FALSE)*U21))</f>
        <v/>
      </c>
      <c r="Y21" s="43"/>
      <c r="Z21" s="43"/>
      <c r="AA21" s="43"/>
      <c r="AB21" s="43"/>
      <c r="AC21" s="43"/>
      <c r="AD21" s="43" t="str">
        <f>IF(A21="","",((VLOOKUP(A21,M_Productos[],4,FALSE) + X21)*U21))</f>
        <v/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P21" s="11"/>
    </row>
    <row r="22" spans="1:42" x14ac:dyDescent="0.25">
      <c r="A22" s="41"/>
      <c r="B22" s="41"/>
      <c r="C22" s="41"/>
      <c r="D22" s="42" t="str">
        <f>IF(A22="","",(VLOOKUP(A22,M_Productos[],2,FALSE)))</f>
        <v/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4"/>
      <c r="V22" s="45"/>
      <c r="W22" s="46"/>
      <c r="X22" s="43" t="str">
        <f>IF(A22="","",(VLOOKUP(A22,M_Productos[],4,FALSE)*VLOOKUP($A22,M_Productos[],3,FALSE)*U22))</f>
        <v/>
      </c>
      <c r="Y22" s="43"/>
      <c r="Z22" s="43"/>
      <c r="AA22" s="43"/>
      <c r="AB22" s="43"/>
      <c r="AC22" s="43"/>
      <c r="AD22" s="43" t="str">
        <f>IF(A22="","",((VLOOKUP(A22,M_Productos[],4,FALSE) + X22)*U22))</f>
        <v/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P22" s="11"/>
    </row>
    <row r="23" spans="1:42" x14ac:dyDescent="0.25">
      <c r="A23" s="41"/>
      <c r="B23" s="41"/>
      <c r="C23" s="41"/>
      <c r="D23" s="42" t="str">
        <f>IF(A23="","",(VLOOKUP(A23,M_Productos[],2,FALSE)))</f>
        <v/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4"/>
      <c r="V23" s="45"/>
      <c r="W23" s="46"/>
      <c r="X23" s="43" t="str">
        <f>IF(A23="","",(VLOOKUP(A23,M_Productos[],4,FALSE)*VLOOKUP($A23,M_Productos[],3,FALSE)*U23))</f>
        <v/>
      </c>
      <c r="Y23" s="43"/>
      <c r="Z23" s="43"/>
      <c r="AA23" s="43"/>
      <c r="AB23" s="43"/>
      <c r="AC23" s="43"/>
      <c r="AD23" s="43" t="str">
        <f>IF(A23="","",((VLOOKUP(A23,M_Productos[],4,FALSE) + X23)*U23))</f>
        <v/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P23" s="11"/>
    </row>
    <row r="24" spans="1:42" x14ac:dyDescent="0.25">
      <c r="A24" s="41"/>
      <c r="B24" s="41"/>
      <c r="C24" s="41"/>
      <c r="D24" s="42" t="str">
        <f>IF(A24="","",(VLOOKUP(A24,M_Productos[],2,FALSE)))</f>
        <v/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4"/>
      <c r="V24" s="45"/>
      <c r="W24" s="46"/>
      <c r="X24" s="43" t="str">
        <f>IF(A24="","",(VLOOKUP(A24,M_Productos[],4,FALSE)*VLOOKUP($A24,M_Productos[],3,FALSE)*U24))</f>
        <v/>
      </c>
      <c r="Y24" s="43"/>
      <c r="Z24" s="43"/>
      <c r="AA24" s="43"/>
      <c r="AB24" s="43"/>
      <c r="AC24" s="43"/>
      <c r="AD24" s="43" t="str">
        <f>IF(A24="","",((VLOOKUP(A24,M_Productos[],4,FALSE) + X24)*U24))</f>
        <v/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P24" s="11"/>
    </row>
    <row r="25" spans="1:42" x14ac:dyDescent="0.25">
      <c r="A25" s="41"/>
      <c r="B25" s="41"/>
      <c r="C25" s="41"/>
      <c r="D25" s="42" t="str">
        <f>IF(A25="","",(VLOOKUP(A25,M_Productos[],2,FALSE)))</f>
        <v/>
      </c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4"/>
      <c r="V25" s="45"/>
      <c r="W25" s="46"/>
      <c r="X25" s="43" t="str">
        <f>IF(A25="","",(VLOOKUP(A25,M_Productos[],4,FALSE)*VLOOKUP($A25,M_Productos[],3,FALSE)*U25))</f>
        <v/>
      </c>
      <c r="Y25" s="43"/>
      <c r="Z25" s="43"/>
      <c r="AA25" s="43"/>
      <c r="AB25" s="43"/>
      <c r="AC25" s="43"/>
      <c r="AD25" s="43" t="str">
        <f>IF(A25="","",((VLOOKUP(A25,M_Productos[],4,FALSE) + X25)*U25))</f>
        <v/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P25" s="11"/>
    </row>
    <row r="26" spans="1:42" x14ac:dyDescent="0.25">
      <c r="A26" s="41"/>
      <c r="B26" s="41"/>
      <c r="C26" s="41"/>
      <c r="D26" s="42" t="str">
        <f>IF(A26="","",(VLOOKUP(A26,M_Productos[],2,FALSE)))</f>
        <v/>
      </c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4"/>
      <c r="V26" s="45"/>
      <c r="W26" s="46"/>
      <c r="X26" s="43" t="str">
        <f>IF(A26="","",(VLOOKUP(A26,M_Productos[],4,FALSE)*VLOOKUP($A26,M_Productos[],3,FALSE)*U26))</f>
        <v/>
      </c>
      <c r="Y26" s="43"/>
      <c r="Z26" s="43"/>
      <c r="AA26" s="43"/>
      <c r="AB26" s="43"/>
      <c r="AC26" s="43"/>
      <c r="AD26" s="43" t="str">
        <f>IF(A26="","",((VLOOKUP(A26,M_Productos[],4,FALSE) + X26)*U26))</f>
        <v/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P26" s="11"/>
    </row>
    <row r="27" spans="1:42" x14ac:dyDescent="0.25">
      <c r="A27" s="41"/>
      <c r="B27" s="41"/>
      <c r="C27" s="41"/>
      <c r="D27" s="42" t="str">
        <f>IF(A27="","",(VLOOKUP(A27,M_Productos[],2,FALSE)))</f>
        <v/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4"/>
      <c r="V27" s="45"/>
      <c r="W27" s="46"/>
      <c r="X27" s="43" t="str">
        <f>IF(A27="","",(VLOOKUP(A27,M_Productos[],4,FALSE)*VLOOKUP($A27,M_Productos[],3,FALSE)*U27))</f>
        <v/>
      </c>
      <c r="Y27" s="43"/>
      <c r="Z27" s="43"/>
      <c r="AA27" s="43"/>
      <c r="AB27" s="43"/>
      <c r="AC27" s="43"/>
      <c r="AD27" s="43" t="str">
        <f>IF(A27="","",((VLOOKUP(A27,M_Productos[],4,FALSE) + X27)*U27))</f>
        <v/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P27" s="11"/>
    </row>
    <row r="28" spans="1:42" ht="20.25" customHeight="1" x14ac:dyDescent="0.25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25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25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25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25">
      <c r="B34" s="32" t="s">
        <v>98</v>
      </c>
      <c r="C34" s="32"/>
      <c r="D34" s="32"/>
      <c r="E34" s="32"/>
    </row>
    <row r="35" spans="2:5" x14ac:dyDescent="0.25">
      <c r="B35" s="32"/>
      <c r="C35" s="32"/>
      <c r="D35" s="32"/>
      <c r="E35" s="32"/>
    </row>
  </sheetData>
  <protectedRanges>
    <protectedRange sqref="AK5:AM5" name="Rango1"/>
  </protectedRanges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whole" allowBlank="1" showInputMessage="1" showErrorMessage="1" sqref="U15:W27" xr:uid="{DBDE2934-07A0-4711-AED3-6F05C53B91AF}">
      <formula1>0</formula1>
      <formula2>500</formula2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zoomScale="85" zoomScaleNormal="85" workbookViewId="0">
      <selection activeCell="U15" sqref="U15:W15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7"/>
      <c r="B1" s="31"/>
      <c r="C1" s="31"/>
      <c r="D1" s="31"/>
      <c r="E1" s="3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1" t="s">
        <v>0</v>
      </c>
      <c r="AL1" s="31"/>
      <c r="AM1" s="31"/>
      <c r="AN1" s="10"/>
    </row>
    <row r="2" spans="1:42" x14ac:dyDescent="0.25">
      <c r="A2" s="38"/>
      <c r="B2" s="30"/>
      <c r="C2" s="30"/>
      <c r="D2" s="30"/>
      <c r="E2" s="30"/>
      <c r="AK2" s="40">
        <f ca="1">TODAY()</f>
        <v>44786</v>
      </c>
      <c r="AL2" s="40"/>
      <c r="AM2" s="40"/>
      <c r="AN2" s="9"/>
    </row>
    <row r="3" spans="1:42" x14ac:dyDescent="0.25">
      <c r="A3" s="38"/>
      <c r="B3" s="30"/>
      <c r="C3" s="30"/>
      <c r="D3" s="30"/>
      <c r="E3" s="30"/>
      <c r="O3" s="34" t="s">
        <v>1</v>
      </c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N3" s="3"/>
    </row>
    <row r="4" spans="1:42" x14ac:dyDescent="0.25">
      <c r="A4" s="38"/>
      <c r="B4" s="30"/>
      <c r="C4" s="30"/>
      <c r="D4" s="30"/>
      <c r="E4" s="30"/>
      <c r="AK4" s="30" t="s">
        <v>2</v>
      </c>
      <c r="AL4" s="30"/>
      <c r="AM4" s="30"/>
      <c r="AN4" s="3"/>
    </row>
    <row r="5" spans="1:42" ht="15" customHeight="1" x14ac:dyDescent="0.25">
      <c r="A5" s="38"/>
      <c r="B5" s="30"/>
      <c r="C5" s="30"/>
      <c r="D5" s="30"/>
      <c r="E5" s="30"/>
      <c r="O5" s="30" t="s">
        <v>3</v>
      </c>
      <c r="P5" s="30"/>
      <c r="Q5" s="30"/>
      <c r="R5" s="30"/>
      <c r="S5" s="30"/>
      <c r="T5" s="30"/>
      <c r="U5" s="30"/>
      <c r="V5" s="30"/>
      <c r="W5" s="30"/>
      <c r="X5" s="30"/>
      <c r="Y5" s="30"/>
      <c r="AJ5" t="s">
        <v>4</v>
      </c>
      <c r="AK5" s="29"/>
      <c r="AL5" s="29"/>
      <c r="AM5" s="29"/>
      <c r="AN5" s="3"/>
    </row>
    <row r="6" spans="1:42" x14ac:dyDescent="0.25">
      <c r="A6" s="38"/>
      <c r="B6" s="30"/>
      <c r="C6" s="30"/>
      <c r="D6" s="30"/>
      <c r="E6" s="30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5" t="s">
        <v>5</v>
      </c>
      <c r="G9" s="35"/>
      <c r="H9" s="35"/>
      <c r="I9" s="35"/>
      <c r="J9" s="35"/>
      <c r="K9" s="35"/>
      <c r="P9" s="36" t="str">
        <f>IF(VLOOKUP($AK$5,m_facturas[],2,FALSE)="","",VLOOKUP($AK$5,m_facturas[],2,FALSE))</f>
        <v/>
      </c>
      <c r="Q9" s="36"/>
      <c r="R9" s="36"/>
      <c r="S9" s="36"/>
      <c r="T9" s="36"/>
      <c r="U9" s="36"/>
      <c r="V9" s="36"/>
      <c r="W9" s="36"/>
      <c r="X9" s="36"/>
      <c r="Y9" s="36"/>
      <c r="Z9" s="36"/>
      <c r="AN9" s="3"/>
    </row>
    <row r="10" spans="1:42" ht="15.75" thickBot="1" x14ac:dyDescent="0.3">
      <c r="A10" s="2"/>
      <c r="F10" s="35" t="s">
        <v>6</v>
      </c>
      <c r="G10" s="35"/>
      <c r="H10" s="35"/>
      <c r="I10" s="35"/>
      <c r="J10" s="35"/>
      <c r="K10" s="35"/>
      <c r="P10" s="31" t="str">
        <f>IF(P9="","",VLOOKUP(P9,M_Empleados[],2,FALSE))</f>
        <v/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N10" s="3"/>
    </row>
    <row r="11" spans="1:42" ht="15.75" thickBot="1" x14ac:dyDescent="0.3">
      <c r="A11" s="2"/>
      <c r="F11" s="35" t="s">
        <v>8</v>
      </c>
      <c r="G11" s="35"/>
      <c r="H11" s="35"/>
      <c r="I11" s="35"/>
      <c r="J11" s="35"/>
      <c r="K11" s="35"/>
      <c r="P11" s="31" t="str">
        <f>IF(P10="","",VLOOKUP(P9,M_Empleados[],3,FALSE))</f>
        <v/>
      </c>
      <c r="Q11" s="31"/>
      <c r="R11" s="31"/>
      <c r="S11" s="31"/>
      <c r="T11" s="31"/>
      <c r="U11" s="31"/>
      <c r="V11" s="31"/>
      <c r="W11" s="31"/>
      <c r="X11" s="31"/>
      <c r="Y11" s="31"/>
      <c r="Z11" s="31"/>
      <c r="AN11" s="3"/>
    </row>
    <row r="12" spans="1:42" ht="15.75" thickBot="1" x14ac:dyDescent="0.3">
      <c r="A12" s="2"/>
      <c r="F12" s="35" t="s">
        <v>9</v>
      </c>
      <c r="G12" s="35"/>
      <c r="H12" s="35"/>
      <c r="I12" s="7"/>
      <c r="J12" s="7"/>
      <c r="K12" s="7"/>
      <c r="P12" s="39" t="str">
        <f>IF(P11="","",VLOOKUP(P9,Empleados,4,FALSE))</f>
        <v/>
      </c>
      <c r="Q12" s="39"/>
      <c r="R12" s="39"/>
      <c r="S12" s="39"/>
      <c r="T12" s="39"/>
      <c r="U12" s="39"/>
      <c r="V12" s="39"/>
      <c r="W12" s="39"/>
      <c r="X12" s="39"/>
      <c r="Y12" s="39"/>
      <c r="Z12" s="39"/>
      <c r="AN12" s="3"/>
    </row>
    <row r="13" spans="1:42" x14ac:dyDescent="0.25">
      <c r="A13" s="2"/>
      <c r="AN13" s="3"/>
    </row>
    <row r="14" spans="1:42" x14ac:dyDescent="0.25">
      <c r="A14" s="33" t="s">
        <v>10</v>
      </c>
      <c r="B14" s="33"/>
      <c r="C14" s="33"/>
      <c r="D14" s="33" t="s">
        <v>11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 t="s">
        <v>12</v>
      </c>
      <c r="V14" s="33"/>
      <c r="W14" s="33"/>
      <c r="X14" s="33" t="s">
        <v>13</v>
      </c>
      <c r="Y14" s="33"/>
      <c r="Z14" s="33"/>
      <c r="AA14" s="33"/>
      <c r="AB14" s="33"/>
      <c r="AC14" s="33"/>
      <c r="AD14" s="33" t="s">
        <v>14</v>
      </c>
      <c r="AE14" s="33"/>
      <c r="AF14" s="33"/>
      <c r="AG14" s="33"/>
      <c r="AH14" s="33"/>
      <c r="AI14" s="33"/>
      <c r="AJ14" s="33"/>
      <c r="AK14" s="33"/>
      <c r="AL14" s="33"/>
      <c r="AM14" s="33"/>
      <c r="AN14" s="33"/>
    </row>
    <row r="15" spans="1:42" x14ac:dyDescent="0.25">
      <c r="A15" s="50" t="str">
        <f>IF(VLOOKUP($AK$5,m_facturas[],4,FALSE)="","",VLOOKUP($AK$5,m_facturas[],4,FALSE))</f>
        <v/>
      </c>
      <c r="B15" s="51"/>
      <c r="C15" s="52"/>
      <c r="D15" s="42" t="str">
        <f>IF(A15="","",(VLOOKUP(A15,M_Productos[],2,FALSE)))</f>
        <v/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50">
        <f>IF(VLOOKUP($AK$5,m_facturas[],19,FALSE)="","",VLOOKUP($AK$5,m_facturas[],18,FALSE))</f>
        <v>1</v>
      </c>
      <c r="V15" s="51"/>
      <c r="W15" s="52"/>
      <c r="X15" s="43" t="str">
        <f>IF(A15="","",(VLOOKUP(A15,M_Productos[],4,FALSE)*VLOOKUP($A15,M_Productos[],3,FALSE)*U15))</f>
        <v/>
      </c>
      <c r="Y15" s="43"/>
      <c r="Z15" s="43"/>
      <c r="AA15" s="43"/>
      <c r="AB15" s="43"/>
      <c r="AC15" s="43"/>
      <c r="AD15" s="43" t="str">
        <f>IF(A15="","",((VLOOKUP(A15,M_Productos[],4,FALSE) + X15)*U15))</f>
        <v/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P15" s="11"/>
    </row>
    <row r="16" spans="1:42" x14ac:dyDescent="0.25">
      <c r="A16" s="50" t="str">
        <f>IF(VLOOKUP($AK$5,m_facturas[],5,FALSE)="","",VLOOKUP($AK$5,m_facturas[],5,FALSE))</f>
        <v/>
      </c>
      <c r="B16" s="51"/>
      <c r="C16" s="52"/>
      <c r="D16" s="42" t="str">
        <f>IF(A16="","",(VLOOKUP(A16,M_Productos[],2,FALSE)))</f>
        <v/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50">
        <f>IF(VLOOKUP($AK$5,m_facturas[],18,FALSE)="","",VLOOKUP($AK$5,m_facturas[],18,FALSE))</f>
        <v>1</v>
      </c>
      <c r="V16" s="51"/>
      <c r="W16" s="52"/>
      <c r="X16" s="43" t="str">
        <f>IF(A16="","",(VLOOKUP(A16,M_Productos[],4,FALSE)*VLOOKUP($A16,M_Productos[],3,FALSE)*U16))</f>
        <v/>
      </c>
      <c r="Y16" s="43"/>
      <c r="Z16" s="43"/>
      <c r="AA16" s="43"/>
      <c r="AB16" s="43"/>
      <c r="AC16" s="43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25">
      <c r="A17" s="50" t="str">
        <f>IF(VLOOKUP($AK$5,m_facturas[],6,FALSE)="","",VLOOKUP($AK$5,m_facturas[],6,FALSE))</f>
        <v/>
      </c>
      <c r="B17" s="51"/>
      <c r="C17" s="52"/>
      <c r="D17" s="42" t="str">
        <f>IF(A17="","",(VLOOKUP(A17,M_Productos[],2,FALSE)))</f>
        <v/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50">
        <f>IF(VLOOKUP($AK$5,m_facturas[],19,FALSE)="","",VLOOKUP($AK$5,m_facturas[],19,FALSE))</f>
        <v>1</v>
      </c>
      <c r="V17" s="51"/>
      <c r="W17" s="52"/>
      <c r="X17" s="43" t="str">
        <f>IF(A17="","",(VLOOKUP(A17,M_Productos[],4,FALSE)*VLOOKUP($A17,M_Productos[],3,FALSE)*U17))</f>
        <v/>
      </c>
      <c r="Y17" s="43"/>
      <c r="Z17" s="43"/>
      <c r="AA17" s="43"/>
      <c r="AB17" s="43"/>
      <c r="AC17" s="43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25">
      <c r="A18" s="50" t="str">
        <f>IF(VLOOKUP($AK$5,m_facturas[],7,FALSE)="","",VLOOKUP($AK$5,m_facturas[],7,FALSE))</f>
        <v/>
      </c>
      <c r="B18" s="51"/>
      <c r="C18" s="52"/>
      <c r="D18" s="42" t="str">
        <f>IF(A18="","",(VLOOKUP(A18,M_Productos[],2,FALSE)))</f>
        <v/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50">
        <f>IF(VLOOKUP($AK$5,m_facturas[],20,FALSE)="","",VLOOKUP($AK$5,m_facturas[],20,FALSE))</f>
        <v>1</v>
      </c>
      <c r="V18" s="51"/>
      <c r="W18" s="52"/>
      <c r="X18" s="43" t="str">
        <f>IF(A18="","",(VLOOKUP(A18,M_Productos[],4,FALSE)*VLOOKUP($A18,M_Productos[],3,FALSE)*U18))</f>
        <v/>
      </c>
      <c r="Y18" s="43"/>
      <c r="Z18" s="43"/>
      <c r="AA18" s="43"/>
      <c r="AB18" s="43"/>
      <c r="AC18" s="43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25">
      <c r="A19" s="50" t="str">
        <f>IF(VLOOKUP($AK$5,m_facturas[],8,FALSE)="","",VLOOKUP($AK$5,m_facturas[],8,FALSE))</f>
        <v/>
      </c>
      <c r="B19" s="51"/>
      <c r="C19" s="52"/>
      <c r="D19" s="42" t="str">
        <f>IF(A19="","",(VLOOKUP(A19,M_Productos[],2,FALSE)))</f>
        <v/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50">
        <f>IF(VLOOKUP($AK$5,m_facturas[],21,FALSE)="","",VLOOKUP($AK$5,m_facturas[],21,FALSE))</f>
        <v>1</v>
      </c>
      <c r="V19" s="51"/>
      <c r="W19" s="52"/>
      <c r="X19" s="43" t="str">
        <f>IF(A19="","",(VLOOKUP(A19,M_Productos[],4,FALSE)*VLOOKUP($A19,M_Productos[],3,FALSE)*U19))</f>
        <v/>
      </c>
      <c r="Y19" s="43"/>
      <c r="Z19" s="43"/>
      <c r="AA19" s="43"/>
      <c r="AB19" s="43"/>
      <c r="AC19" s="43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25">
      <c r="A20" s="50" t="str">
        <f>IF(VLOOKUP($AK$5,m_facturas[],9,FALSE)="","",VLOOKUP($AK$5,m_facturas[],9,FALSE))</f>
        <v/>
      </c>
      <c r="B20" s="51"/>
      <c r="C20" s="52"/>
      <c r="D20" s="42" t="str">
        <f>IF(A20="","",(VLOOKUP(A20,M_Productos[],2,FALSE)))</f>
        <v/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0">
        <f>IF(VLOOKUP($AK$5,m_facturas[],22,FALSE)="","",VLOOKUP($AK$5,m_facturas[],22,FALSE))</f>
        <v>1</v>
      </c>
      <c r="V20" s="51"/>
      <c r="W20" s="52"/>
      <c r="X20" s="43" t="str">
        <f>IF(A20="","",(VLOOKUP(A20,M_Productos[],4,FALSE)*VLOOKUP($A20,M_Productos[],3,FALSE)*U20))</f>
        <v/>
      </c>
      <c r="Y20" s="43"/>
      <c r="Z20" s="43"/>
      <c r="AA20" s="43"/>
      <c r="AB20" s="43"/>
      <c r="AC20" s="43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25">
      <c r="A21" s="50" t="str">
        <f>IF(VLOOKUP($AK$5,m_facturas[],10,FALSE)="","",VLOOKUP($AK$5,m_facturas[],10,FALSE))</f>
        <v/>
      </c>
      <c r="B21" s="51"/>
      <c r="C21" s="52"/>
      <c r="D21" s="42" t="str">
        <f>IF(A21="","",(VLOOKUP(A21,M_Productos[],2,FALSE)))</f>
        <v/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50">
        <f>IF(VLOOKUP($AK$5,m_facturas[],23,FALSE)="","",VLOOKUP($AK$5,m_facturas[],23,FALSE))</f>
        <v>1</v>
      </c>
      <c r="V21" s="51"/>
      <c r="W21" s="52"/>
      <c r="X21" s="43" t="str">
        <f>IF(A21="","",(VLOOKUP(A21,M_Productos[],4,FALSE)*VLOOKUP($A21,M_Productos[],3,FALSE)*U21))</f>
        <v/>
      </c>
      <c r="Y21" s="43"/>
      <c r="Z21" s="43"/>
      <c r="AA21" s="43"/>
      <c r="AB21" s="43"/>
      <c r="AC21" s="43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25">
      <c r="A22" s="50" t="str">
        <f>IF(VLOOKUP($AK$5,m_facturas[],11,FALSE)="","",VLOOKUP($AK$5,m_facturas[],11,FALSE))</f>
        <v/>
      </c>
      <c r="B22" s="51"/>
      <c r="C22" s="52"/>
      <c r="D22" s="42" t="str">
        <f>IF(A22="","",(VLOOKUP(A22,M_Productos[],2,FALSE)))</f>
        <v/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50">
        <f>IF(VLOOKUP($AK$5,m_facturas[],24,FALSE)="","",VLOOKUP($AK$5,m_facturas[],24,FALSE))</f>
        <v>1</v>
      </c>
      <c r="V22" s="51"/>
      <c r="W22" s="52"/>
      <c r="X22" s="43" t="str">
        <f>IF(A22="","",(VLOOKUP(A22,M_Productos[],4,FALSE)*VLOOKUP($A22,M_Productos[],3,FALSE)*U22))</f>
        <v/>
      </c>
      <c r="Y22" s="43"/>
      <c r="Z22" s="43"/>
      <c r="AA22" s="43"/>
      <c r="AB22" s="43"/>
      <c r="AC22" s="43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25">
      <c r="A23" s="50" t="str">
        <f>IF(VLOOKUP($AK$5,m_facturas[],12,FALSE)="","",VLOOKUP($AK$5,m_facturas[],12,FALSE))</f>
        <v/>
      </c>
      <c r="B23" s="51"/>
      <c r="C23" s="52"/>
      <c r="D23" s="42" t="str">
        <f>IF(A23="","",(VLOOKUP(A23,M_Productos[],2,FALSE)))</f>
        <v/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50">
        <f>IF(VLOOKUP($AK$5,m_facturas[],25,FALSE)="","",VLOOKUP($AK$5,m_facturas[],25,FALSE))</f>
        <v>1</v>
      </c>
      <c r="V23" s="51"/>
      <c r="W23" s="52"/>
      <c r="X23" s="43" t="str">
        <f>IF(A23="","",(VLOOKUP(A23,M_Productos[],4,FALSE)*VLOOKUP($A23,M_Productos[],3,FALSE)*U23))</f>
        <v/>
      </c>
      <c r="Y23" s="43"/>
      <c r="Z23" s="43"/>
      <c r="AA23" s="43"/>
      <c r="AB23" s="43"/>
      <c r="AC23" s="43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25">
      <c r="A24" s="50" t="str">
        <f>IF(VLOOKUP($AK$5,m_facturas[],13,FALSE)="","",VLOOKUP($AK$5,m_facturas[],13,FALSE))</f>
        <v/>
      </c>
      <c r="B24" s="51"/>
      <c r="C24" s="52"/>
      <c r="D24" s="42" t="str">
        <f>IF(A24="","",(VLOOKUP(A24,M_Productos[],2,FALSE)))</f>
        <v/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0">
        <f>IF(VLOOKUP($AK$5,m_facturas[],26,FALSE)="","",VLOOKUP($AK$5,m_facturas[],26,FALSE))</f>
        <v>1</v>
      </c>
      <c r="V24" s="51"/>
      <c r="W24" s="52"/>
      <c r="X24" s="43" t="str">
        <f>IF(A24="","",(VLOOKUP(A24,M_Productos[],4,FALSE)*VLOOKUP($A24,M_Productos[],3,FALSE)*U24))</f>
        <v/>
      </c>
      <c r="Y24" s="43"/>
      <c r="Z24" s="43"/>
      <c r="AA24" s="43"/>
      <c r="AB24" s="43"/>
      <c r="AC24" s="43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25">
      <c r="A25" s="50" t="str">
        <f>IF(VLOOKUP($AK$5,m_facturas[],14,FALSE)="","",VLOOKUP($AK$5,m_facturas[],14,FALSE))</f>
        <v/>
      </c>
      <c r="B25" s="51"/>
      <c r="C25" s="52"/>
      <c r="D25" s="42" t="str">
        <f>IF(A25="","",(VLOOKUP(A25,M_Productos[],2,FALSE)))</f>
        <v/>
      </c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50">
        <f>IF(VLOOKUP($AK$5,m_facturas[],27,FALSE)="","",VLOOKUP($AK$5,m_facturas[],27,FALSE))</f>
        <v>1</v>
      </c>
      <c r="V25" s="51"/>
      <c r="W25" s="52"/>
      <c r="X25" s="43" t="str">
        <f>IF(A25="","",(VLOOKUP(A25,M_Productos[],4,FALSE)*VLOOKUP($A25,M_Productos[],3,FALSE)*U25))</f>
        <v/>
      </c>
      <c r="Y25" s="43"/>
      <c r="Z25" s="43"/>
      <c r="AA25" s="43"/>
      <c r="AB25" s="43"/>
      <c r="AC25" s="43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25">
      <c r="A26" s="50" t="str">
        <f>IF(VLOOKUP($AK$5,m_facturas[],15,FALSE)="","",VLOOKUP($AK$5,m_facturas[],15,FALSE))</f>
        <v/>
      </c>
      <c r="B26" s="51"/>
      <c r="C26" s="52"/>
      <c r="D26" s="42" t="str">
        <f>IF(A26="","",(VLOOKUP(A26,M_Productos[],2,FALSE)))</f>
        <v/>
      </c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50">
        <f>IF(VLOOKUP($AK$5,m_facturas[],28,FALSE)="","",VLOOKUP($AK$5,m_facturas[],28,FALSE))</f>
        <v>1</v>
      </c>
      <c r="V26" s="51"/>
      <c r="W26" s="52"/>
      <c r="X26" s="43" t="str">
        <f>IF(A26="","",(VLOOKUP(A26,M_Productos[],4,FALSE)*VLOOKUP($A26,M_Productos[],3,FALSE)*U26))</f>
        <v/>
      </c>
      <c r="Y26" s="43"/>
      <c r="Z26" s="43"/>
      <c r="AA26" s="43"/>
      <c r="AB26" s="43"/>
      <c r="AC26" s="43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25">
      <c r="A27" s="50" t="str">
        <f>IF(VLOOKUP($AK$5,m_facturas[],16,FALSE)="","",VLOOKUP($AK$5,m_facturas[],16,FALSE))</f>
        <v/>
      </c>
      <c r="B27" s="51"/>
      <c r="C27" s="52"/>
      <c r="D27" s="42" t="str">
        <f>IF(A27="","",(VLOOKUP(A27,M_Productos[],2,FALSE)))</f>
        <v/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50">
        <f>IF(VLOOKUP($AK$5,m_facturas[],29,FALSE)="","",VLOOKUP($AK$5,m_facturas[],29,FALSE))</f>
        <v>1</v>
      </c>
      <c r="V27" s="51"/>
      <c r="W27" s="52"/>
      <c r="X27" s="43" t="str">
        <f>IF(A27="","",(VLOOKUP(A27,M_Productos[],4,FALSE)*VLOOKUP($A27,M_Productos[],3,FALSE)*U27))</f>
        <v/>
      </c>
      <c r="Y27" s="43"/>
      <c r="Z27" s="43"/>
      <c r="AA27" s="43"/>
      <c r="AB27" s="43"/>
      <c r="AC27" s="43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25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25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25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25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25">
      <c r="B34" s="32"/>
      <c r="C34" s="32"/>
      <c r="D34" s="32"/>
      <c r="E34" s="32"/>
    </row>
    <row r="35" spans="2:5" x14ac:dyDescent="0.25">
      <c r="B35" s="32"/>
      <c r="C35" s="32"/>
      <c r="D35" s="32"/>
      <c r="E35" s="32"/>
    </row>
  </sheetData>
  <sheetProtection sheet="1" objects="1" scenarios="1"/>
  <protectedRanges>
    <protectedRange sqref="AK5:AM5" name="Rango1"/>
  </protectedRanges>
  <dataConsolidate function="max"/>
  <mergeCells count="94"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  <mergeCell ref="A14:C14"/>
    <mergeCell ref="D14:T14"/>
    <mergeCell ref="U14:W14"/>
    <mergeCell ref="X14:AC14"/>
    <mergeCell ref="AD14:AN14"/>
    <mergeCell ref="A15:C15"/>
    <mergeCell ref="D15:T15"/>
    <mergeCell ref="U15:W15"/>
    <mergeCell ref="X15:AC15"/>
    <mergeCell ref="AD15:AN15"/>
    <mergeCell ref="A17:C17"/>
    <mergeCell ref="D17:T17"/>
    <mergeCell ref="U17:W17"/>
    <mergeCell ref="X17:AC17"/>
    <mergeCell ref="AD17:AN17"/>
    <mergeCell ref="A16:C16"/>
    <mergeCell ref="D16:T16"/>
    <mergeCell ref="U16:W16"/>
    <mergeCell ref="X16:AC16"/>
    <mergeCell ref="AD16:AN16"/>
    <mergeCell ref="A19:C19"/>
    <mergeCell ref="D19:T19"/>
    <mergeCell ref="U19:W19"/>
    <mergeCell ref="X19:AC19"/>
    <mergeCell ref="AD19:AN19"/>
    <mergeCell ref="A18:C18"/>
    <mergeCell ref="D18:T18"/>
    <mergeCell ref="U18:W18"/>
    <mergeCell ref="X18:AC18"/>
    <mergeCell ref="AD18:AN18"/>
    <mergeCell ref="A21:C21"/>
    <mergeCell ref="D21:T21"/>
    <mergeCell ref="U21:W21"/>
    <mergeCell ref="X21:AC21"/>
    <mergeCell ref="AD21:AN21"/>
    <mergeCell ref="A20:C20"/>
    <mergeCell ref="D20:T20"/>
    <mergeCell ref="U20:W20"/>
    <mergeCell ref="X20:AC20"/>
    <mergeCell ref="AD20:AN20"/>
    <mergeCell ref="A23:C23"/>
    <mergeCell ref="D23:T23"/>
    <mergeCell ref="U23:W23"/>
    <mergeCell ref="X23:AC23"/>
    <mergeCell ref="AD23:AN23"/>
    <mergeCell ref="A22:C22"/>
    <mergeCell ref="D22:T22"/>
    <mergeCell ref="U22:W22"/>
    <mergeCell ref="X22:AC22"/>
    <mergeCell ref="AD22:AN22"/>
    <mergeCell ref="A25:C25"/>
    <mergeCell ref="D25:T25"/>
    <mergeCell ref="U25:W25"/>
    <mergeCell ref="X25:AC25"/>
    <mergeCell ref="AD25:AN25"/>
    <mergeCell ref="A24:C24"/>
    <mergeCell ref="D24:T24"/>
    <mergeCell ref="U24:W24"/>
    <mergeCell ref="X24:AC24"/>
    <mergeCell ref="AD24:AN24"/>
    <mergeCell ref="A27:C27"/>
    <mergeCell ref="D27:T27"/>
    <mergeCell ref="U27:W27"/>
    <mergeCell ref="X27:AC27"/>
    <mergeCell ref="AD27:AN27"/>
    <mergeCell ref="A26:C26"/>
    <mergeCell ref="D26:T26"/>
    <mergeCell ref="U26:W26"/>
    <mergeCell ref="X26:AC26"/>
    <mergeCell ref="AD26:AN26"/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whole" allowBlank="1" showInputMessage="1" showErrorMessage="1" sqref="U19:W19" xr:uid="{3FFBCD87-A4D9-42F7-AF98-CDCBBAE9FABF}">
      <formula1>0</formula1>
      <formula2>500</formula2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13"/>
  <sheetViews>
    <sheetView topLeftCell="D1" zoomScaleNormal="100" workbookViewId="0">
      <selection activeCell="AD20" sqref="AD20"/>
    </sheetView>
  </sheetViews>
  <sheetFormatPr baseColWidth="10" defaultColWidth="3" defaultRowHeight="15" x14ac:dyDescent="0.25"/>
  <cols>
    <col min="5" max="5" width="8.85546875" bestFit="1" customWidth="1"/>
    <col min="6" max="6" width="16.140625" bestFit="1" customWidth="1"/>
    <col min="7" max="7" width="8.28515625" bestFit="1" customWidth="1"/>
    <col min="8" max="33" width="6.42578125" bestFit="1" customWidth="1"/>
    <col min="34" max="45" width="6.42578125" customWidth="1"/>
  </cols>
  <sheetData>
    <row r="1" spans="5:33" x14ac:dyDescent="0.25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7" t="s">
        <v>19</v>
      </c>
      <c r="F2" s="13" t="s">
        <v>20</v>
      </c>
      <c r="G2" s="13" t="s">
        <v>21</v>
      </c>
      <c r="H2" s="18" t="s">
        <v>22</v>
      </c>
      <c r="I2" s="18" t="s">
        <v>23</v>
      </c>
      <c r="J2" s="18" t="s">
        <v>24</v>
      </c>
      <c r="K2" s="18" t="s">
        <v>25</v>
      </c>
      <c r="L2" s="18" t="s">
        <v>26</v>
      </c>
      <c r="M2" s="18" t="s">
        <v>27</v>
      </c>
      <c r="N2" s="18" t="s">
        <v>28</v>
      </c>
      <c r="O2" s="18" t="s">
        <v>29</v>
      </c>
      <c r="P2" s="18" t="s">
        <v>30</v>
      </c>
      <c r="Q2" s="18" t="s">
        <v>31</v>
      </c>
      <c r="R2" s="18" t="s">
        <v>32</v>
      </c>
      <c r="S2" s="18" t="s">
        <v>33</v>
      </c>
      <c r="T2" s="18" t="s">
        <v>34</v>
      </c>
      <c r="U2" s="18" t="s">
        <v>35</v>
      </c>
      <c r="V2" s="18" t="s">
        <v>36</v>
      </c>
      <c r="W2" s="18" t="s">
        <v>37</v>
      </c>
      <c r="X2" s="18" t="s">
        <v>38</v>
      </c>
      <c r="Y2" s="18" t="s">
        <v>39</v>
      </c>
      <c r="Z2" s="18" t="s">
        <v>40</v>
      </c>
      <c r="AA2" s="18" t="s">
        <v>41</v>
      </c>
      <c r="AB2" s="18" t="s">
        <v>42</v>
      </c>
      <c r="AC2" s="18" t="s">
        <v>43</v>
      </c>
      <c r="AD2" s="18" t="s">
        <v>44</v>
      </c>
      <c r="AE2" s="18" t="s">
        <v>45</v>
      </c>
      <c r="AF2" s="18" t="s">
        <v>46</v>
      </c>
      <c r="AG2" s="18" t="s">
        <v>47</v>
      </c>
    </row>
    <row r="3" spans="5:33" x14ac:dyDescent="0.25">
      <c r="E3" s="16">
        <v>10</v>
      </c>
      <c r="F3" s="12" t="s">
        <v>48</v>
      </c>
      <c r="G3" s="14">
        <v>44785</v>
      </c>
      <c r="H3" s="15" t="s">
        <v>52</v>
      </c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>
        <v>1</v>
      </c>
      <c r="V3" s="15">
        <v>1</v>
      </c>
      <c r="W3" s="15">
        <v>1</v>
      </c>
      <c r="X3" s="15">
        <v>1</v>
      </c>
      <c r="Y3" s="15">
        <v>1</v>
      </c>
      <c r="Z3" s="15">
        <v>1</v>
      </c>
      <c r="AA3" s="15">
        <v>1</v>
      </c>
      <c r="AB3" s="15">
        <v>1</v>
      </c>
      <c r="AC3" s="15">
        <v>1</v>
      </c>
      <c r="AD3" s="15">
        <v>1</v>
      </c>
      <c r="AE3" s="15">
        <v>1</v>
      </c>
      <c r="AF3" s="15">
        <v>1</v>
      </c>
      <c r="AG3" s="15">
        <v>1</v>
      </c>
    </row>
    <row r="4" spans="5:33" x14ac:dyDescent="0.25">
      <c r="E4" s="16">
        <v>9</v>
      </c>
      <c r="F4" s="12" t="s">
        <v>50</v>
      </c>
      <c r="G4" s="14">
        <v>44785</v>
      </c>
      <c r="H4" s="15" t="s">
        <v>53</v>
      </c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>
        <v>1</v>
      </c>
      <c r="V4" s="15">
        <v>1</v>
      </c>
      <c r="W4" s="15">
        <v>1</v>
      </c>
      <c r="X4" s="15">
        <v>1</v>
      </c>
      <c r="Y4" s="15">
        <v>1</v>
      </c>
      <c r="Z4" s="15">
        <v>1</v>
      </c>
      <c r="AA4" s="15">
        <v>1</v>
      </c>
      <c r="AB4" s="15">
        <v>1</v>
      </c>
      <c r="AC4" s="15">
        <v>1</v>
      </c>
      <c r="AD4" s="15">
        <v>1</v>
      </c>
      <c r="AE4" s="15">
        <v>1</v>
      </c>
      <c r="AF4" s="15">
        <v>1</v>
      </c>
      <c r="AG4" s="15">
        <v>1</v>
      </c>
    </row>
    <row r="5" spans="5:33" x14ac:dyDescent="0.25">
      <c r="E5" s="16">
        <v>8</v>
      </c>
      <c r="F5" s="12" t="s">
        <v>50</v>
      </c>
      <c r="G5" s="14">
        <v>44785</v>
      </c>
      <c r="H5" s="15" t="s">
        <v>85</v>
      </c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>
        <v>1</v>
      </c>
      <c r="V5" s="15">
        <v>1</v>
      </c>
      <c r="W5" s="15">
        <v>1</v>
      </c>
      <c r="X5" s="15">
        <v>1</v>
      </c>
      <c r="Y5" s="15">
        <v>1</v>
      </c>
      <c r="Z5" s="15">
        <v>1</v>
      </c>
      <c r="AA5" s="15">
        <v>1</v>
      </c>
      <c r="AB5" s="15">
        <v>1</v>
      </c>
      <c r="AC5" s="15">
        <v>1</v>
      </c>
      <c r="AD5" s="15">
        <v>1</v>
      </c>
      <c r="AE5" s="15">
        <v>1</v>
      </c>
      <c r="AF5" s="15">
        <v>1</v>
      </c>
      <c r="AG5" s="15">
        <v>1</v>
      </c>
    </row>
    <row r="6" spans="5:33" x14ac:dyDescent="0.25">
      <c r="E6" s="16">
        <v>7</v>
      </c>
      <c r="F6" s="12" t="s">
        <v>48</v>
      </c>
      <c r="G6" s="14">
        <v>44785</v>
      </c>
      <c r="H6" s="15" t="s">
        <v>49</v>
      </c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>
        <v>1</v>
      </c>
      <c r="V6" s="15">
        <v>1</v>
      </c>
      <c r="W6" s="15">
        <v>1</v>
      </c>
      <c r="X6" s="15">
        <v>1</v>
      </c>
      <c r="Y6" s="15">
        <v>1</v>
      </c>
      <c r="Z6" s="15">
        <v>1</v>
      </c>
      <c r="AA6" s="15">
        <v>1</v>
      </c>
      <c r="AB6" s="15">
        <v>1</v>
      </c>
      <c r="AC6" s="15">
        <v>1</v>
      </c>
      <c r="AD6" s="15">
        <v>1</v>
      </c>
      <c r="AE6" s="15">
        <v>1</v>
      </c>
      <c r="AF6" s="15">
        <v>1</v>
      </c>
      <c r="AG6" s="15">
        <v>1</v>
      </c>
    </row>
    <row r="7" spans="5:33" x14ac:dyDescent="0.25">
      <c r="E7" s="16">
        <v>6</v>
      </c>
      <c r="F7" s="12" t="s">
        <v>69</v>
      </c>
      <c r="G7" s="14">
        <v>44785</v>
      </c>
      <c r="H7" s="15" t="s">
        <v>51</v>
      </c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>
        <v>1</v>
      </c>
      <c r="V7" s="15">
        <v>1</v>
      </c>
      <c r="W7" s="15">
        <v>1</v>
      </c>
      <c r="X7" s="15">
        <v>1</v>
      </c>
      <c r="Y7" s="15">
        <v>1</v>
      </c>
      <c r="Z7" s="15">
        <v>1</v>
      </c>
      <c r="AA7" s="15">
        <v>1</v>
      </c>
      <c r="AB7" s="15">
        <v>1</v>
      </c>
      <c r="AC7" s="15">
        <v>1</v>
      </c>
      <c r="AD7" s="15">
        <v>1</v>
      </c>
      <c r="AE7" s="15">
        <v>1</v>
      </c>
      <c r="AF7" s="15">
        <v>1</v>
      </c>
      <c r="AG7" s="15">
        <v>1</v>
      </c>
    </row>
    <row r="8" spans="5:33" x14ac:dyDescent="0.25">
      <c r="E8" s="16">
        <v>5</v>
      </c>
      <c r="F8" s="12" t="s">
        <v>76</v>
      </c>
      <c r="G8" s="14">
        <v>44785</v>
      </c>
      <c r="H8" s="15"/>
      <c r="I8" s="15"/>
      <c r="J8" s="15"/>
      <c r="K8" s="15"/>
      <c r="L8" s="15" t="s">
        <v>51</v>
      </c>
      <c r="M8" s="15"/>
      <c r="N8" s="15"/>
      <c r="O8" s="15"/>
      <c r="P8" s="15"/>
      <c r="Q8" s="15"/>
      <c r="R8" s="15"/>
      <c r="S8" s="15"/>
      <c r="T8" s="15"/>
      <c r="U8" s="15">
        <v>1</v>
      </c>
      <c r="V8" s="15">
        <v>1</v>
      </c>
      <c r="W8" s="15">
        <v>1</v>
      </c>
      <c r="X8" s="15">
        <v>1</v>
      </c>
      <c r="Y8" s="15">
        <v>1</v>
      </c>
      <c r="Z8" s="15">
        <v>1</v>
      </c>
      <c r="AA8" s="15">
        <v>1</v>
      </c>
      <c r="AB8" s="15">
        <v>1</v>
      </c>
      <c r="AC8" s="15">
        <v>1</v>
      </c>
      <c r="AD8" s="15">
        <v>1</v>
      </c>
      <c r="AE8" s="15">
        <v>1</v>
      </c>
      <c r="AF8" s="15">
        <v>1</v>
      </c>
      <c r="AG8" s="15">
        <v>1</v>
      </c>
    </row>
    <row r="9" spans="5:33" x14ac:dyDescent="0.25">
      <c r="E9" s="16">
        <v>4</v>
      </c>
      <c r="F9" s="12" t="s">
        <v>48</v>
      </c>
      <c r="G9" s="14">
        <v>44785</v>
      </c>
      <c r="H9" s="15"/>
      <c r="I9" s="15"/>
      <c r="J9" s="15"/>
      <c r="K9" s="15"/>
      <c r="L9" s="15" t="s">
        <v>85</v>
      </c>
      <c r="M9" s="15"/>
      <c r="N9" s="15"/>
      <c r="O9" s="15"/>
      <c r="P9" s="15"/>
      <c r="Q9" s="15"/>
      <c r="R9" s="15"/>
      <c r="S9" s="15"/>
      <c r="T9" s="15"/>
      <c r="U9" s="15">
        <v>1</v>
      </c>
      <c r="V9" s="15">
        <v>1</v>
      </c>
      <c r="W9" s="15">
        <v>1</v>
      </c>
      <c r="X9" s="15">
        <v>1</v>
      </c>
      <c r="Y9" s="15">
        <v>1</v>
      </c>
      <c r="Z9" s="15">
        <v>1</v>
      </c>
      <c r="AA9" s="15">
        <v>1</v>
      </c>
      <c r="AB9" s="15">
        <v>1</v>
      </c>
      <c r="AC9" s="15">
        <v>1</v>
      </c>
      <c r="AD9" s="15">
        <v>1</v>
      </c>
      <c r="AE9" s="15">
        <v>1</v>
      </c>
      <c r="AF9" s="15">
        <v>1</v>
      </c>
      <c r="AG9" s="15">
        <v>1</v>
      </c>
    </row>
    <row r="10" spans="5:33" x14ac:dyDescent="0.25">
      <c r="E10" s="16">
        <v>3</v>
      </c>
      <c r="F10" s="12" t="s">
        <v>50</v>
      </c>
      <c r="G10" s="14">
        <v>44785</v>
      </c>
      <c r="H10" s="15"/>
      <c r="I10" s="15"/>
      <c r="J10" s="15"/>
      <c r="K10" s="15"/>
      <c r="L10" s="15" t="s">
        <v>85</v>
      </c>
      <c r="M10" s="15"/>
      <c r="N10" s="15"/>
      <c r="O10" s="15"/>
      <c r="P10" s="15"/>
      <c r="Q10" s="15"/>
      <c r="R10" s="15"/>
      <c r="S10" s="15"/>
      <c r="T10" s="15"/>
      <c r="U10" s="15">
        <v>1</v>
      </c>
      <c r="V10" s="15">
        <v>1</v>
      </c>
      <c r="W10" s="15">
        <v>1</v>
      </c>
      <c r="X10" s="15">
        <v>1</v>
      </c>
      <c r="Y10" s="15">
        <v>1</v>
      </c>
      <c r="Z10" s="15">
        <v>1</v>
      </c>
      <c r="AA10" s="15">
        <v>1</v>
      </c>
      <c r="AB10" s="15">
        <v>1</v>
      </c>
      <c r="AC10" s="15">
        <v>1</v>
      </c>
      <c r="AD10" s="15">
        <v>1</v>
      </c>
      <c r="AE10" s="15">
        <v>1</v>
      </c>
      <c r="AF10" s="15">
        <v>1</v>
      </c>
      <c r="AG10" s="15">
        <v>1</v>
      </c>
    </row>
    <row r="11" spans="5:33" x14ac:dyDescent="0.25">
      <c r="E11" s="16">
        <v>2</v>
      </c>
      <c r="F11" s="12" t="s">
        <v>48</v>
      </c>
      <c r="G11" s="14">
        <v>44784</v>
      </c>
      <c r="H11" s="15"/>
      <c r="I11" s="15"/>
      <c r="J11" s="15" t="s">
        <v>49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1</v>
      </c>
      <c r="V11" s="15">
        <v>1</v>
      </c>
      <c r="W11" s="15">
        <v>1</v>
      </c>
      <c r="X11" s="15">
        <v>1</v>
      </c>
      <c r="Y11" s="15">
        <v>1</v>
      </c>
      <c r="Z11" s="15">
        <v>1</v>
      </c>
      <c r="AA11" s="15">
        <v>1</v>
      </c>
      <c r="AB11" s="15">
        <v>1</v>
      </c>
      <c r="AC11" s="15">
        <v>1</v>
      </c>
      <c r="AD11" s="15">
        <v>1</v>
      </c>
      <c r="AE11" s="15">
        <v>1</v>
      </c>
      <c r="AF11" s="15">
        <v>1</v>
      </c>
      <c r="AG11" s="15">
        <v>1</v>
      </c>
    </row>
    <row r="12" spans="5:33" x14ac:dyDescent="0.25">
      <c r="E12" s="16">
        <v>1</v>
      </c>
      <c r="F12" s="12" t="s">
        <v>50</v>
      </c>
      <c r="G12" s="14">
        <v>44783</v>
      </c>
      <c r="H12" s="15"/>
      <c r="I12" s="15" t="s">
        <v>51</v>
      </c>
      <c r="J12" s="15" t="s">
        <v>52</v>
      </c>
      <c r="K12" s="15" t="s">
        <v>53</v>
      </c>
      <c r="L12" s="15" t="s">
        <v>54</v>
      </c>
      <c r="M12" s="15" t="s">
        <v>55</v>
      </c>
      <c r="N12" s="15" t="s">
        <v>56</v>
      </c>
      <c r="O12" s="15" t="s">
        <v>57</v>
      </c>
      <c r="P12" s="15" t="s">
        <v>58</v>
      </c>
      <c r="Q12" s="15" t="s">
        <v>59</v>
      </c>
      <c r="R12" s="15" t="s">
        <v>60</v>
      </c>
      <c r="S12" s="15" t="s">
        <v>61</v>
      </c>
      <c r="T12" s="15" t="s">
        <v>62</v>
      </c>
      <c r="U12" s="15">
        <v>1</v>
      </c>
      <c r="V12" s="15">
        <v>1</v>
      </c>
      <c r="W12" s="15">
        <v>1</v>
      </c>
      <c r="X12" s="15">
        <v>1</v>
      </c>
      <c r="Y12" s="15">
        <v>1</v>
      </c>
      <c r="Z12" s="15">
        <v>1</v>
      </c>
      <c r="AA12" s="15">
        <v>1</v>
      </c>
      <c r="AB12" s="15">
        <v>1</v>
      </c>
      <c r="AC12" s="15">
        <v>1</v>
      </c>
      <c r="AD12" s="15">
        <v>1</v>
      </c>
      <c r="AE12" s="15">
        <v>1</v>
      </c>
      <c r="AF12" s="15">
        <v>1</v>
      </c>
      <c r="AG12" s="15">
        <v>1</v>
      </c>
    </row>
    <row r="13" spans="5:33" x14ac:dyDescent="0.25">
      <c r="E13" s="16">
        <v>0</v>
      </c>
      <c r="F13" s="12"/>
      <c r="G13" s="14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>
        <v>1</v>
      </c>
      <c r="V13" s="15">
        <v>1</v>
      </c>
      <c r="W13" s="15">
        <v>1</v>
      </c>
      <c r="X13" s="15">
        <v>1</v>
      </c>
      <c r="Y13" s="15">
        <v>1</v>
      </c>
      <c r="Z13" s="15">
        <v>1</v>
      </c>
      <c r="AA13" s="15">
        <v>1</v>
      </c>
      <c r="AB13" s="15">
        <v>1</v>
      </c>
      <c r="AC13" s="15">
        <v>1</v>
      </c>
      <c r="AD13" s="15">
        <v>1</v>
      </c>
      <c r="AE13" s="15">
        <v>1</v>
      </c>
      <c r="AF13" s="15">
        <v>1</v>
      </c>
      <c r="AG13" s="15">
        <v>1</v>
      </c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22" t="s">
        <v>20</v>
      </c>
      <c r="C4" s="23" t="s">
        <v>63</v>
      </c>
      <c r="D4" s="23" t="s">
        <v>64</v>
      </c>
      <c r="E4" s="13" t="s">
        <v>65</v>
      </c>
    </row>
    <row r="5" spans="2:5" x14ac:dyDescent="0.25">
      <c r="B5" s="21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21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21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21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21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20" t="s">
        <v>79</v>
      </c>
      <c r="C10" s="24">
        <v>1000554334</v>
      </c>
      <c r="D10" s="25" t="s">
        <v>80</v>
      </c>
      <c r="E10" s="19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22" t="s">
        <v>10</v>
      </c>
      <c r="C4" s="26" t="s">
        <v>82</v>
      </c>
      <c r="D4" s="23" t="s">
        <v>13</v>
      </c>
      <c r="E4" s="26" t="s">
        <v>14</v>
      </c>
    </row>
    <row r="5" spans="2:5" x14ac:dyDescent="0.25">
      <c r="B5" s="21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21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21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21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21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21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21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21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21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21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21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21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21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21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20" t="s">
        <v>62</v>
      </c>
      <c r="C19" s="25" t="s">
        <v>97</v>
      </c>
      <c r="D19" s="27">
        <v>2.13</v>
      </c>
      <c r="E19" s="28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2022-08-13T15:22:02Z</dcterms:modified>
  <cp:category/>
  <cp:contentStatus/>
</cp:coreProperties>
</file>
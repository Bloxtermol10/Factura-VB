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dor.JANUS-3065\OneDrive\Sena\Sistemas\Tics\3 Trimestrre\Macros\Factura Sena\"/>
    </mc:Choice>
  </mc:AlternateContent>
  <xr:revisionPtr revIDLastSave="0" documentId="13_ncr:1_{CC3FEF17-31C0-4143-878A-92C8931DBEFC}" xr6:coauthVersionLast="47" xr6:coauthVersionMax="47" xr10:uidLastSave="{00000000-0000-0000-0000-000000000000}"/>
  <bookViews>
    <workbookView xWindow="-108" yWindow="-108" windowWidth="23256" windowHeight="13176" xr2:uid="{E7BCC358-6F38-4867-B30C-32EEB422F7F0}"/>
  </bookViews>
  <sheets>
    <sheet name="BUSQUEDA" sheetId="2" r:id="rId1"/>
    <sheet name="FACTURAS" sheetId="8" r:id="rId2"/>
    <sheet name="MEMORIA" sheetId="6" r:id="rId3"/>
    <sheet name="EMPLEADOS" sheetId="4" r:id="rId4"/>
    <sheet name="PRODUCTOS" sheetId="3" r:id="rId5"/>
  </sheets>
  <definedNames>
    <definedName name="_xlnm._FilterDatabase" localSheetId="0" hidden="1">BUSQUEDA!$D$15:$T$27</definedName>
    <definedName name="_xlnm._FilterDatabase" localSheetId="1" hidden="1">FACTURAS!$E$3:$E$6</definedName>
    <definedName name="Cod_Product">FACTURAS!$E$3:$E$6</definedName>
    <definedName name="CODIGOS">PRODUCTOS!$B$5:$B$17</definedName>
    <definedName name="Empleados">EMPLEADOS!$B$5:$E$10</definedName>
    <definedName name="LISTA">PRODUCTOS!$B$5:$E$17</definedName>
    <definedName name="Nombre_Empleado">EMPLEADOS!$B$5:$B$10</definedName>
    <definedName name="Nro_Factura">#REF!</definedName>
    <definedName name="PORCENTAJE">PRODUCTOS!$D$5:$D$17</definedName>
    <definedName name="PRECIOS">PRODUCTOS!$E$5:$E$17</definedName>
    <definedName name="PRODUCTOS">PRODUCTOS!$C$5:$C$17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10" i="2" l="1"/>
  <c r="P11" i="2" s="1"/>
  <c r="P12" i="2" s="1"/>
  <c r="AK2" i="2"/>
  <c r="X26" i="2"/>
  <c r="AD26" i="2" s="1"/>
  <c r="X16" i="2"/>
  <c r="X17" i="2"/>
  <c r="AD17" i="2" s="1"/>
  <c r="X18" i="2"/>
  <c r="AD18" i="2" s="1"/>
  <c r="X19" i="2"/>
  <c r="AD19" i="2" s="1"/>
  <c r="X20" i="2"/>
  <c r="AD20" i="2" s="1"/>
  <c r="X21" i="2"/>
  <c r="AD21" i="2" s="1"/>
  <c r="X22" i="2"/>
  <c r="AD22" i="2" s="1"/>
  <c r="X23" i="2"/>
  <c r="AD23" i="2" s="1"/>
  <c r="X24" i="2"/>
  <c r="AD24" i="2" s="1"/>
  <c r="X25" i="2"/>
  <c r="AD25" i="2" s="1"/>
  <c r="X27" i="2"/>
  <c r="AD27" i="2" s="1"/>
  <c r="D22" i="2"/>
  <c r="D16" i="2"/>
  <c r="D17" i="2"/>
  <c r="D18" i="2"/>
  <c r="D19" i="2"/>
  <c r="D20" i="2"/>
  <c r="D21" i="2"/>
  <c r="D23" i="2"/>
  <c r="D24" i="2"/>
  <c r="D25" i="2"/>
  <c r="D26" i="2"/>
  <c r="D27" i="2"/>
  <c r="D15" i="2"/>
  <c r="X15" i="2"/>
  <c r="AD15" i="2" s="1"/>
  <c r="AD28" i="2" l="1"/>
  <c r="AD29" i="2"/>
  <c r="AD30" i="2" l="1"/>
  <c r="AD3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F3E229-D201-4166-BDCB-AF7C4F575C07}" keepAlive="1" name="Consulta - Nro_Factura" description="Conexión a la consulta 'Nro_Factura' en el libro." type="5" refreshedVersion="0" background="1">
    <dbPr connection="Provider=Microsoft.Mashup.OleDb.1;Data Source=$Workbook$;Location=Nro_Factura;Extended Properties=&quot;&quot;" command="SELECT * FROM [Nro_Factura]"/>
  </connection>
</connections>
</file>

<file path=xl/sharedStrings.xml><?xml version="1.0" encoding="utf-8"?>
<sst xmlns="http://schemas.openxmlformats.org/spreadsheetml/2006/main" count="96" uniqueCount="83">
  <si>
    <t>FECHA</t>
  </si>
  <si>
    <t>SERVICIO NACIONAL DE APRENDIZAJE SENA</t>
  </si>
  <si>
    <t>CONTROL DE ENTRADA Y SALIDA</t>
  </si>
  <si>
    <t>NOMBRE DEL EMPLEADO:</t>
  </si>
  <si>
    <t>Daniel Ramirez</t>
  </si>
  <si>
    <t>DOCUMENTO:</t>
  </si>
  <si>
    <t>DEPARTAMENTO:</t>
  </si>
  <si>
    <t>DIRECCION:</t>
  </si>
  <si>
    <t>CODIGO</t>
  </si>
  <si>
    <t>DESCRIPCION DEL ELEMENTO</t>
  </si>
  <si>
    <t>CANTIDAD</t>
  </si>
  <si>
    <t>VR. IVA</t>
  </si>
  <si>
    <t>VALOR TOTAL</t>
  </si>
  <si>
    <t>AN103</t>
  </si>
  <si>
    <t>AN110</t>
  </si>
  <si>
    <t>AN104</t>
  </si>
  <si>
    <t>AN113</t>
  </si>
  <si>
    <t>AN102</t>
  </si>
  <si>
    <t>AN105</t>
  </si>
  <si>
    <t>AN106</t>
  </si>
  <si>
    <t>AN111</t>
  </si>
  <si>
    <t>TOTAL VALOR BRUTO</t>
  </si>
  <si>
    <t>VALOR IVA</t>
  </si>
  <si>
    <t>VALOR NETO</t>
  </si>
  <si>
    <t>Nombre</t>
  </si>
  <si>
    <t>Cedula</t>
  </si>
  <si>
    <t>Departamento</t>
  </si>
  <si>
    <t>Direccion</t>
  </si>
  <si>
    <t>Diego Ramirez</t>
  </si>
  <si>
    <t>Soporte</t>
  </si>
  <si>
    <t>Carrera 15 # 10- 45</t>
  </si>
  <si>
    <t>Milena Duarte</t>
  </si>
  <si>
    <t>Cartera</t>
  </si>
  <si>
    <t>Calle 23 # 45-2</t>
  </si>
  <si>
    <t>Alexander Mendez</t>
  </si>
  <si>
    <t>Resgistro</t>
  </si>
  <si>
    <t>Transversal 5 # 44-5</t>
  </si>
  <si>
    <t>Sandra Quiñones</t>
  </si>
  <si>
    <t>Psicologia</t>
  </si>
  <si>
    <t>Calle 1 a # 54-2</t>
  </si>
  <si>
    <t>Johan Gomez</t>
  </si>
  <si>
    <t>Mantenimiento</t>
  </si>
  <si>
    <t>Carrera 16A # 45- 3</t>
  </si>
  <si>
    <t>Secretaria</t>
  </si>
  <si>
    <t>Calle 1 G # 23-12</t>
  </si>
  <si>
    <t xml:space="preserve">NOMBRE DEL PRODUCTO </t>
  </si>
  <si>
    <t>AN101</t>
  </si>
  <si>
    <t xml:space="preserve">TECLADO RED DRAGON DRACK AVENGER </t>
  </si>
  <si>
    <t>MONITOR SAMSUMG 24" IPS</t>
  </si>
  <si>
    <t>DISCO DURO SSD 256GB LEXAR</t>
  </si>
  <si>
    <t>MOUSE LOGITEC G302</t>
  </si>
  <si>
    <t>DISCO DURO HDD 1TB DISCOVERY</t>
  </si>
  <si>
    <t>COMPUTADOR JANUS 8 GB RAM I5</t>
  </si>
  <si>
    <t>AN107</t>
  </si>
  <si>
    <t>LAPTOP ASUS 16RAM I 5</t>
  </si>
  <si>
    <t>AN108</t>
  </si>
  <si>
    <t>CAMARA INFRARROJA</t>
  </si>
  <si>
    <t>AN109</t>
  </si>
  <si>
    <t>TELEVISOR SAMSUMG 30"</t>
  </si>
  <si>
    <t xml:space="preserve">MEMORIA RAM 8GB APPDATA </t>
  </si>
  <si>
    <t>TECLADO RED DRAGON VEGINER</t>
  </si>
  <si>
    <t>AN112</t>
  </si>
  <si>
    <t xml:space="preserve">PROYECTOR </t>
  </si>
  <si>
    <t>MONITOR JANUS 23 " IPS</t>
  </si>
  <si>
    <t xml:space="preserve"> </t>
  </si>
  <si>
    <t>VALOR CON DESCUENTO</t>
  </si>
  <si>
    <t>Fecha</t>
  </si>
  <si>
    <t>No Factura</t>
  </si>
  <si>
    <t>Codigo</t>
  </si>
  <si>
    <t>Facturas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</si>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</sst>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dd\-mm\-yy;@"/>
    <numFmt numFmtId="166" formatCode="&quot;ABC - &quot;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0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center"/>
    </xf>
    <xf numFmtId="9" fontId="0" fillId="0" borderId="7" xfId="2" applyFont="1" applyBorder="1"/>
    <xf numFmtId="0" fontId="0" fillId="0" borderId="9" xfId="0" applyBorder="1"/>
    <xf numFmtId="44" fontId="0" fillId="0" borderId="7" xfId="1" applyFont="1" applyBorder="1" applyAlignment="1"/>
    <xf numFmtId="0" fontId="0" fillId="0" borderId="0" xfId="0" applyAlignment="1">
      <alignment horizontal="left"/>
    </xf>
    <xf numFmtId="3" fontId="0" fillId="0" borderId="7" xfId="0" applyNumberFormat="1" applyBorder="1"/>
    <xf numFmtId="0" fontId="0" fillId="0" borderId="5" xfId="0" applyBorder="1" applyAlignment="1">
      <alignment horizontal="right"/>
    </xf>
    <xf numFmtId="0" fontId="0" fillId="0" borderId="5" xfId="0" applyBorder="1" applyAlignment="1"/>
    <xf numFmtId="0" fontId="0" fillId="0" borderId="3" xfId="0" applyBorder="1" applyAlignment="1"/>
    <xf numFmtId="0" fontId="0" fillId="0" borderId="0" xfId="0"/>
    <xf numFmtId="2" fontId="0" fillId="0" borderId="0" xfId="0" applyNumberFormat="1"/>
    <xf numFmtId="0" fontId="0" fillId="0" borderId="0" xfId="0" applyAlignment="1">
      <alignment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66" fontId="0" fillId="0" borderId="12" xfId="0" applyNumberFormat="1" applyBorder="1" applyAlignment="1"/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6" fontId="0" fillId="0" borderId="10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7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0" fillId="0" borderId="7" xfId="0" applyBorder="1" applyAlignment="1"/>
    <xf numFmtId="164" fontId="0" fillId="0" borderId="7" xfId="1" applyNumberFormat="1" applyFon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/>
    </xf>
    <xf numFmtId="164" fontId="0" fillId="0" borderId="7" xfId="0" applyNumberFormat="1" applyBorder="1" applyAlignment="1">
      <alignment horizontal="right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43" fontId="0" fillId="0" borderId="10" xfId="3" applyFont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Porcentaje" xfId="2" builtinId="5"/>
  </cellStyles>
  <dxfs count="6">
    <dxf>
      <numFmt numFmtId="166" formatCode="&quot;ABC - &quot;000"/>
      <alignment horizontal="general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7171"/>
      <color rgb="FFFF1919"/>
      <color rgb="FFFFD5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5" name="Rectángulo: esquinas redondeadas 4" hidden="1">
          <a:extLst>
            <a:ext uri="{FF2B5EF4-FFF2-40B4-BE49-F238E27FC236}">
              <a16:creationId xmlns:a16="http://schemas.microsoft.com/office/drawing/2014/main" id="{2DEE3A29-410B-45AE-AF4C-29F86F4B782C}"/>
            </a:ext>
          </a:extLst>
        </xdr:cNvPr>
        <xdr:cNvSpPr/>
      </xdr:nvSpPr>
      <xdr:spPr>
        <a:xfrm>
          <a:off x="3661955" y="6197236"/>
          <a:ext cx="1185454" cy="415835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4099691-38E1-B983-830B-BFB23EF665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0174" cy="914400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2" name="Rectángulo: esquinas redondeadas 1" hidden="1">
          <a:extLst>
            <a:ext uri="{FF2B5EF4-FFF2-40B4-BE49-F238E27FC236}">
              <a16:creationId xmlns:a16="http://schemas.microsoft.com/office/drawing/2014/main" id="{A11A2A64-03CB-911E-88C6-31342F045251}"/>
            </a:ext>
          </a:extLst>
        </xdr:cNvPr>
        <xdr:cNvSpPr/>
      </xdr:nvSpPr>
      <xdr:spPr>
        <a:xfrm>
          <a:off x="513522" y="6311348"/>
          <a:ext cx="1167848" cy="43069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7999AA7-D7FD-7AA2-8E92-5613B4CE34E4}"/>
            </a:ext>
          </a:extLst>
        </xdr:cNvPr>
        <xdr:cNvSpPr/>
      </xdr:nvSpPr>
      <xdr:spPr>
        <a:xfrm>
          <a:off x="514933" y="6018037"/>
          <a:ext cx="1210934" cy="40691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 hidden="1">
          <a:extLst>
            <a:ext uri="{FF2B5EF4-FFF2-40B4-BE49-F238E27FC236}">
              <a16:creationId xmlns:a16="http://schemas.microsoft.com/office/drawing/2014/main" id="{CADF2822-3C40-4B6B-BA5A-F16F7C1C7DDA}"/>
            </a:ext>
          </a:extLst>
        </xdr:cNvPr>
        <xdr:cNvSpPr/>
      </xdr:nvSpPr>
      <xdr:spPr>
        <a:xfrm>
          <a:off x="2177144" y="6186351"/>
          <a:ext cx="1186543" cy="41583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ED127D85-C337-435C-B265-2DE2FB50543B}"/>
            </a:ext>
          </a:extLst>
        </xdr:cNvPr>
        <xdr:cNvSpPr/>
      </xdr:nvSpPr>
      <xdr:spPr>
        <a:xfrm>
          <a:off x="2183674" y="6187441"/>
          <a:ext cx="1185454" cy="415835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EFA4CBF-52C4-408C-A00A-DD5FE40AA7CF}" name="Cod_Factura" displayName="Cod_Factura" ref="E2:E6" totalsRowShown="0" headerRowDxfId="5" dataDxfId="3" headerRowBorderDxfId="4" tableBorderDxfId="2" totalsRowBorderDxfId="1">
  <tableColumns count="1">
    <tableColumn id="1" xr3:uid="{5FAC68C3-491D-44D5-A490-710BE5690ADF}" name="Codig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DDE52-DD20-4AAB-9F8E-44C6F8E3C6A2}">
  <sheetPr codeName="Hoja1">
    <pageSetUpPr fitToPage="1"/>
  </sheetPr>
  <dimension ref="A1:AP35"/>
  <sheetViews>
    <sheetView showGridLines="0" tabSelected="1" zoomScaleNormal="100" workbookViewId="0">
      <selection activeCell="AK5" sqref="AK5:AM5"/>
    </sheetView>
  </sheetViews>
  <sheetFormatPr baseColWidth="10" defaultColWidth="11.44140625" defaultRowHeight="14.4" x14ac:dyDescent="0.3"/>
  <cols>
    <col min="1" max="2" width="4.44140625" customWidth="1"/>
    <col min="3" max="3" width="3.88671875" customWidth="1"/>
    <col min="4" max="4" width="5" customWidth="1"/>
    <col min="5" max="5" width="3.109375" customWidth="1"/>
    <col min="6" max="6" width="10" customWidth="1"/>
    <col min="7" max="7" width="4.5546875" customWidth="1"/>
    <col min="8" max="8" width="3.88671875" customWidth="1"/>
    <col min="9" max="9" width="3.5546875" customWidth="1"/>
    <col min="10" max="10" width="3.33203125" customWidth="1"/>
    <col min="11" max="11" width="3.44140625" customWidth="1"/>
    <col min="12" max="12" width="4" hidden="1" customWidth="1"/>
    <col min="13" max="13" width="2.6640625" hidden="1" customWidth="1"/>
    <col min="14" max="14" width="3.109375" hidden="1" customWidth="1"/>
    <col min="15" max="15" width="3.44140625" hidden="1" customWidth="1"/>
    <col min="16" max="16" width="3.6640625" customWidth="1"/>
    <col min="17" max="18" width="3.88671875" customWidth="1"/>
    <col min="19" max="19" width="4" customWidth="1"/>
    <col min="20" max="20" width="4.44140625" customWidth="1"/>
    <col min="21" max="21" width="4.109375" customWidth="1"/>
    <col min="22" max="22" width="5.5546875" customWidth="1"/>
    <col min="23" max="23" width="3.5546875" customWidth="1"/>
    <col min="24" max="24" width="9.109375" customWidth="1"/>
    <col min="25" max="25" width="1.88671875" customWidth="1"/>
    <col min="26" max="26" width="0.5546875" hidden="1" customWidth="1"/>
    <col min="27" max="27" width="2.5546875" customWidth="1"/>
    <col min="28" max="28" width="1.44140625" customWidth="1"/>
    <col min="29" max="29" width="4.6640625" customWidth="1"/>
    <col min="30" max="30" width="7.88671875" customWidth="1"/>
    <col min="31" max="32" width="2.5546875" customWidth="1"/>
    <col min="33" max="33" width="2.109375" customWidth="1"/>
    <col min="34" max="34" width="2.44140625" customWidth="1"/>
    <col min="35" max="35" width="2.5546875" customWidth="1"/>
    <col min="36" max="36" width="3" customWidth="1"/>
    <col min="37" max="37" width="3.44140625" customWidth="1"/>
    <col min="38" max="38" width="2.44140625" customWidth="1"/>
    <col min="39" max="39" width="3.6640625" customWidth="1"/>
    <col min="40" max="40" width="3.5546875" customWidth="1"/>
  </cols>
  <sheetData>
    <row r="1" spans="1:42" x14ac:dyDescent="0.3">
      <c r="A1" s="30"/>
      <c r="B1" s="24"/>
      <c r="C1" s="24"/>
      <c r="D1" s="24"/>
      <c r="E1" s="24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24" t="s">
        <v>0</v>
      </c>
      <c r="AL1" s="24"/>
      <c r="AM1" s="24"/>
      <c r="AN1" s="13"/>
    </row>
    <row r="2" spans="1:42" x14ac:dyDescent="0.3">
      <c r="A2" s="31"/>
      <c r="B2" s="23"/>
      <c r="C2" s="23"/>
      <c r="D2" s="23"/>
      <c r="E2" s="23"/>
      <c r="AK2" s="33">
        <f ca="1">TODAY()</f>
        <v>44782</v>
      </c>
      <c r="AL2" s="33"/>
      <c r="AM2" s="33"/>
      <c r="AN2" s="11"/>
    </row>
    <row r="3" spans="1:42" x14ac:dyDescent="0.3">
      <c r="A3" s="31"/>
      <c r="B3" s="23"/>
      <c r="C3" s="23"/>
      <c r="D3" s="23"/>
      <c r="E3" s="23"/>
      <c r="O3" s="27" t="s">
        <v>1</v>
      </c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N3" s="3"/>
    </row>
    <row r="4" spans="1:42" x14ac:dyDescent="0.3">
      <c r="A4" s="31"/>
      <c r="B4" s="23"/>
      <c r="C4" s="23"/>
      <c r="D4" s="23"/>
      <c r="E4" s="23"/>
      <c r="AK4" s="23" t="s">
        <v>67</v>
      </c>
      <c r="AL4" s="23"/>
      <c r="AM4" s="23"/>
      <c r="AN4" s="12"/>
    </row>
    <row r="5" spans="1:42" ht="15" customHeight="1" x14ac:dyDescent="0.3">
      <c r="A5" s="31"/>
      <c r="B5" s="23"/>
      <c r="C5" s="23"/>
      <c r="D5" s="23"/>
      <c r="E5" s="23"/>
      <c r="O5" s="23" t="s">
        <v>2</v>
      </c>
      <c r="P5" s="23"/>
      <c r="Q5" s="23"/>
      <c r="R5" s="23"/>
      <c r="S5" s="23"/>
      <c r="T5" s="23"/>
      <c r="U5" s="23"/>
      <c r="V5" s="23"/>
      <c r="W5" s="23"/>
      <c r="X5" s="23"/>
      <c r="Y5" s="23"/>
      <c r="AJ5" t="s">
        <v>64</v>
      </c>
      <c r="AK5" s="22">
        <v>4</v>
      </c>
      <c r="AL5" s="22"/>
      <c r="AM5" s="22"/>
      <c r="AN5" s="12"/>
    </row>
    <row r="6" spans="1:42" x14ac:dyDescent="0.3">
      <c r="A6" s="31"/>
      <c r="B6" s="23"/>
      <c r="C6" s="23"/>
      <c r="D6" s="23"/>
      <c r="E6" s="23"/>
      <c r="AN6" s="3"/>
    </row>
    <row r="7" spans="1:42" ht="7.5" customHeight="1" x14ac:dyDescent="0.3">
      <c r="A7" s="2"/>
      <c r="AN7" s="3"/>
    </row>
    <row r="8" spans="1:42" hidden="1" x14ac:dyDescent="0.3">
      <c r="A8" s="2"/>
      <c r="AN8" s="3"/>
    </row>
    <row r="9" spans="1:42" ht="15" thickBot="1" x14ac:dyDescent="0.35">
      <c r="A9" s="2"/>
      <c r="F9" s="28" t="s">
        <v>3</v>
      </c>
      <c r="G9" s="28"/>
      <c r="H9" s="28"/>
      <c r="I9" s="28"/>
      <c r="J9" s="28"/>
      <c r="K9" s="28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N9" s="3"/>
      <c r="AP9" s="14"/>
    </row>
    <row r="10" spans="1:42" ht="15" thickBot="1" x14ac:dyDescent="0.35">
      <c r="A10" s="2"/>
      <c r="F10" s="28" t="s">
        <v>5</v>
      </c>
      <c r="G10" s="28"/>
      <c r="H10" s="28"/>
      <c r="I10" s="28"/>
      <c r="J10" s="28"/>
      <c r="K10" s="28"/>
      <c r="P10" s="24" t="str">
        <f>IF(P9="","",VLOOKUP(P9,Empleados,2,FALSE))</f>
        <v/>
      </c>
      <c r="Q10" s="24"/>
      <c r="R10" s="24"/>
      <c r="S10" s="24"/>
      <c r="T10" s="24"/>
      <c r="U10" s="24"/>
      <c r="V10" s="24"/>
      <c r="W10" s="24"/>
      <c r="X10" s="24"/>
      <c r="Y10" s="24"/>
      <c r="Z10" s="24"/>
      <c r="AN10" s="3"/>
    </row>
    <row r="11" spans="1:42" ht="15" thickBot="1" x14ac:dyDescent="0.35">
      <c r="A11" s="2"/>
      <c r="F11" s="28" t="s">
        <v>6</v>
      </c>
      <c r="G11" s="28"/>
      <c r="H11" s="28"/>
      <c r="I11" s="28"/>
      <c r="J11" s="28"/>
      <c r="K11" s="28"/>
      <c r="P11" s="24" t="str">
        <f>IF(P10="","",VLOOKUP(P9,Empleados,3,FALSE))</f>
        <v/>
      </c>
      <c r="Q11" s="24"/>
      <c r="R11" s="24"/>
      <c r="S11" s="24"/>
      <c r="T11" s="24"/>
      <c r="U11" s="24"/>
      <c r="V11" s="24"/>
      <c r="W11" s="24"/>
      <c r="X11" s="24"/>
      <c r="Y11" s="24"/>
      <c r="Z11" s="24"/>
      <c r="AN11" s="3"/>
    </row>
    <row r="12" spans="1:42" ht="15" thickBot="1" x14ac:dyDescent="0.35">
      <c r="A12" s="2"/>
      <c r="F12" s="28" t="s">
        <v>7</v>
      </c>
      <c r="G12" s="28"/>
      <c r="H12" s="28"/>
      <c r="I12" s="9"/>
      <c r="J12" s="9"/>
      <c r="K12" s="9"/>
      <c r="P12" s="32" t="str">
        <f>IF(P11="","",VLOOKUP(P9,Empleados,4,FALSE))</f>
        <v/>
      </c>
      <c r="Q12" s="32"/>
      <c r="R12" s="32"/>
      <c r="S12" s="32"/>
      <c r="T12" s="32"/>
      <c r="U12" s="32"/>
      <c r="V12" s="32"/>
      <c r="W12" s="32"/>
      <c r="X12" s="32"/>
      <c r="Y12" s="32"/>
      <c r="Z12" s="32"/>
      <c r="AN12" s="3"/>
    </row>
    <row r="13" spans="1:42" x14ac:dyDescent="0.3">
      <c r="A13" s="2"/>
      <c r="AN13" s="3"/>
    </row>
    <row r="14" spans="1:42" x14ac:dyDescent="0.3">
      <c r="A14" s="26" t="s">
        <v>8</v>
      </c>
      <c r="B14" s="26"/>
      <c r="C14" s="26"/>
      <c r="D14" s="26" t="s">
        <v>9</v>
      </c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 t="s">
        <v>10</v>
      </c>
      <c r="V14" s="26"/>
      <c r="W14" s="26"/>
      <c r="X14" s="26" t="s">
        <v>11</v>
      </c>
      <c r="Y14" s="26"/>
      <c r="Z14" s="26"/>
      <c r="AA14" s="26"/>
      <c r="AB14" s="26"/>
      <c r="AC14" s="26"/>
      <c r="AD14" s="26" t="s">
        <v>12</v>
      </c>
      <c r="AE14" s="26"/>
      <c r="AF14" s="26"/>
      <c r="AG14" s="26"/>
      <c r="AH14" s="26"/>
      <c r="AI14" s="26"/>
      <c r="AJ14" s="26"/>
      <c r="AK14" s="26"/>
      <c r="AL14" s="26"/>
      <c r="AM14" s="26"/>
      <c r="AN14" s="26"/>
    </row>
    <row r="15" spans="1:42" x14ac:dyDescent="0.3">
      <c r="A15" s="34"/>
      <c r="B15" s="34"/>
      <c r="C15" s="34"/>
      <c r="D15" s="35" t="str">
        <f t="shared" ref="D15:D27" si="0">IF(A15="","",(VLOOKUP(A15,LISTA,2,FALSE)))</f>
        <v/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7"/>
      <c r="V15" s="38"/>
      <c r="W15" s="39"/>
      <c r="X15" s="36" t="str">
        <f t="shared" ref="X15:X27" si="1">IF(A15="","",(VLOOKUP(A15,LISTA,4,FALSE)*VLOOKUP($A15,LISTA,3,FALSE)*U15))</f>
        <v/>
      </c>
      <c r="Y15" s="36"/>
      <c r="Z15" s="36"/>
      <c r="AA15" s="36"/>
      <c r="AB15" s="36"/>
      <c r="AC15" s="36"/>
      <c r="AD15" s="36" t="str">
        <f t="shared" ref="AD15:AD27" si="2">IF(A15="","",((VLOOKUP(A15,LISTA,4,FALSE) + X15)*U15))</f>
        <v/>
      </c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P15" s="15"/>
    </row>
    <row r="16" spans="1:42" x14ac:dyDescent="0.3">
      <c r="A16" s="34"/>
      <c r="B16" s="34"/>
      <c r="C16" s="34"/>
      <c r="D16" s="35" t="str">
        <f t="shared" si="0"/>
        <v/>
      </c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7"/>
      <c r="V16" s="38"/>
      <c r="W16" s="39"/>
      <c r="X16" s="36" t="str">
        <f t="shared" si="1"/>
        <v/>
      </c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P16" s="15"/>
    </row>
    <row r="17" spans="1:42" x14ac:dyDescent="0.3">
      <c r="A17" s="34"/>
      <c r="B17" s="34"/>
      <c r="C17" s="34"/>
      <c r="D17" s="35" t="str">
        <f t="shared" si="0"/>
        <v/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7"/>
      <c r="V17" s="38"/>
      <c r="W17" s="39"/>
      <c r="X17" s="36" t="str">
        <f t="shared" si="1"/>
        <v/>
      </c>
      <c r="Y17" s="36"/>
      <c r="Z17" s="36"/>
      <c r="AA17" s="36"/>
      <c r="AB17" s="36"/>
      <c r="AC17" s="36"/>
      <c r="AD17" s="36" t="str">
        <f t="shared" si="2"/>
        <v/>
      </c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P17" s="15"/>
    </row>
    <row r="18" spans="1:42" x14ac:dyDescent="0.3">
      <c r="A18" s="34"/>
      <c r="B18" s="34"/>
      <c r="C18" s="34"/>
      <c r="D18" s="35" t="str">
        <f t="shared" si="0"/>
        <v/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7"/>
      <c r="V18" s="38"/>
      <c r="W18" s="39"/>
      <c r="X18" s="36" t="str">
        <f t="shared" si="1"/>
        <v/>
      </c>
      <c r="Y18" s="36"/>
      <c r="Z18" s="36"/>
      <c r="AA18" s="36"/>
      <c r="AB18" s="36"/>
      <c r="AC18" s="36"/>
      <c r="AD18" s="36" t="str">
        <f t="shared" si="2"/>
        <v/>
      </c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P18" s="15"/>
    </row>
    <row r="19" spans="1:42" x14ac:dyDescent="0.3">
      <c r="A19" s="34"/>
      <c r="B19" s="34"/>
      <c r="C19" s="34"/>
      <c r="D19" s="35" t="str">
        <f t="shared" si="0"/>
        <v/>
      </c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7"/>
      <c r="V19" s="38"/>
      <c r="W19" s="39"/>
      <c r="X19" s="36" t="str">
        <f t="shared" si="1"/>
        <v/>
      </c>
      <c r="Y19" s="36"/>
      <c r="Z19" s="36"/>
      <c r="AA19" s="36"/>
      <c r="AB19" s="36"/>
      <c r="AC19" s="36"/>
      <c r="AD19" s="36" t="str">
        <f t="shared" si="2"/>
        <v/>
      </c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P19" s="15"/>
    </row>
    <row r="20" spans="1:42" x14ac:dyDescent="0.3">
      <c r="A20" s="34"/>
      <c r="B20" s="34"/>
      <c r="C20" s="34"/>
      <c r="D20" s="35" t="str">
        <f t="shared" si="0"/>
        <v/>
      </c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7"/>
      <c r="V20" s="38"/>
      <c r="W20" s="39"/>
      <c r="X20" s="36" t="str">
        <f t="shared" si="1"/>
        <v/>
      </c>
      <c r="Y20" s="36"/>
      <c r="Z20" s="36"/>
      <c r="AA20" s="36"/>
      <c r="AB20" s="36"/>
      <c r="AC20" s="36"/>
      <c r="AD20" s="36" t="str">
        <f t="shared" si="2"/>
        <v/>
      </c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P20" s="15"/>
    </row>
    <row r="21" spans="1:42" x14ac:dyDescent="0.3">
      <c r="A21" s="34"/>
      <c r="B21" s="34"/>
      <c r="C21" s="34"/>
      <c r="D21" s="35" t="str">
        <f t="shared" si="0"/>
        <v/>
      </c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7"/>
      <c r="V21" s="38"/>
      <c r="W21" s="39"/>
      <c r="X21" s="36" t="str">
        <f t="shared" si="1"/>
        <v/>
      </c>
      <c r="Y21" s="36"/>
      <c r="Z21" s="36"/>
      <c r="AA21" s="36"/>
      <c r="AB21" s="36"/>
      <c r="AC21" s="36"/>
      <c r="AD21" s="36" t="str">
        <f t="shared" si="2"/>
        <v/>
      </c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P21" s="15"/>
    </row>
    <row r="22" spans="1:42" x14ac:dyDescent="0.3">
      <c r="A22" s="34"/>
      <c r="B22" s="34"/>
      <c r="C22" s="34"/>
      <c r="D22" s="35" t="str">
        <f t="shared" si="0"/>
        <v/>
      </c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7"/>
      <c r="V22" s="38"/>
      <c r="W22" s="39"/>
      <c r="X22" s="36" t="str">
        <f t="shared" si="1"/>
        <v/>
      </c>
      <c r="Y22" s="36"/>
      <c r="Z22" s="36"/>
      <c r="AA22" s="36"/>
      <c r="AB22" s="36"/>
      <c r="AC22" s="36"/>
      <c r="AD22" s="36" t="str">
        <f t="shared" si="2"/>
        <v/>
      </c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P22" s="15"/>
    </row>
    <row r="23" spans="1:42" x14ac:dyDescent="0.3">
      <c r="A23" s="34"/>
      <c r="B23" s="34"/>
      <c r="C23" s="34"/>
      <c r="D23" s="35" t="str">
        <f t="shared" si="0"/>
        <v/>
      </c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7"/>
      <c r="V23" s="38"/>
      <c r="W23" s="39"/>
      <c r="X23" s="36" t="str">
        <f t="shared" si="1"/>
        <v/>
      </c>
      <c r="Y23" s="36"/>
      <c r="Z23" s="36"/>
      <c r="AA23" s="36"/>
      <c r="AB23" s="36"/>
      <c r="AC23" s="36"/>
      <c r="AD23" s="36" t="str">
        <f t="shared" si="2"/>
        <v/>
      </c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P23" s="15"/>
    </row>
    <row r="24" spans="1:42" x14ac:dyDescent="0.3">
      <c r="A24" s="34"/>
      <c r="B24" s="34"/>
      <c r="C24" s="34"/>
      <c r="D24" s="35" t="str">
        <f t="shared" si="0"/>
        <v/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7"/>
      <c r="V24" s="38"/>
      <c r="W24" s="39"/>
      <c r="X24" s="36" t="str">
        <f t="shared" si="1"/>
        <v/>
      </c>
      <c r="Y24" s="36"/>
      <c r="Z24" s="36"/>
      <c r="AA24" s="36"/>
      <c r="AB24" s="36"/>
      <c r="AC24" s="36"/>
      <c r="AD24" s="36" t="str">
        <f t="shared" si="2"/>
        <v/>
      </c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P24" s="15"/>
    </row>
    <row r="25" spans="1:42" x14ac:dyDescent="0.3">
      <c r="A25" s="34"/>
      <c r="B25" s="34"/>
      <c r="C25" s="34"/>
      <c r="D25" s="35" t="str">
        <f t="shared" si="0"/>
        <v/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7"/>
      <c r="V25" s="38"/>
      <c r="W25" s="39"/>
      <c r="X25" s="36" t="str">
        <f t="shared" si="1"/>
        <v/>
      </c>
      <c r="Y25" s="36"/>
      <c r="Z25" s="36"/>
      <c r="AA25" s="36"/>
      <c r="AB25" s="36"/>
      <c r="AC25" s="36"/>
      <c r="AD25" s="36" t="str">
        <f t="shared" si="2"/>
        <v/>
      </c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P25" s="15"/>
    </row>
    <row r="26" spans="1:42" x14ac:dyDescent="0.3">
      <c r="A26" s="34"/>
      <c r="B26" s="34"/>
      <c r="C26" s="34"/>
      <c r="D26" s="35" t="str">
        <f t="shared" si="0"/>
        <v/>
      </c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7"/>
      <c r="V26" s="38"/>
      <c r="W26" s="39"/>
      <c r="X26" s="36" t="str">
        <f>IF(A26="","",(VLOOKUP(A26,LISTA,4,FALSE)*VLOOKUP($A26,LISTA,3,FALSE)*U26))</f>
        <v/>
      </c>
      <c r="Y26" s="36"/>
      <c r="Z26" s="36"/>
      <c r="AA26" s="36"/>
      <c r="AB26" s="36"/>
      <c r="AC26" s="36"/>
      <c r="AD26" s="36" t="str">
        <f t="shared" si="2"/>
        <v/>
      </c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P26" s="15"/>
    </row>
    <row r="27" spans="1:42" x14ac:dyDescent="0.3">
      <c r="A27" s="34"/>
      <c r="B27" s="34"/>
      <c r="C27" s="34"/>
      <c r="D27" s="35" t="str">
        <f t="shared" si="0"/>
        <v/>
      </c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7"/>
      <c r="V27" s="38"/>
      <c r="W27" s="39"/>
      <c r="X27" s="36" t="str">
        <f t="shared" si="1"/>
        <v/>
      </c>
      <c r="Y27" s="36"/>
      <c r="Z27" s="36"/>
      <c r="AA27" s="36"/>
      <c r="AB27" s="36"/>
      <c r="AC27" s="36"/>
      <c r="AD27" s="36" t="str">
        <f t="shared" si="2"/>
        <v/>
      </c>
      <c r="AE27" s="36"/>
      <c r="AF27" s="36"/>
      <c r="AG27" s="36"/>
      <c r="AH27" s="36"/>
      <c r="AI27" s="36"/>
      <c r="AJ27" s="36"/>
      <c r="AK27" s="36"/>
      <c r="AL27" s="36"/>
      <c r="AM27" s="36"/>
      <c r="AN27" s="36"/>
      <c r="AP27" s="15"/>
    </row>
    <row r="28" spans="1:42" ht="20.25" customHeight="1" x14ac:dyDescent="0.3">
      <c r="A28" s="40" t="s">
        <v>21</v>
      </c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1">
        <f>SUM(AD15:AN27)- SUM(X15:AC27)</f>
        <v>0</v>
      </c>
      <c r="AE28" s="41"/>
      <c r="AF28" s="41"/>
      <c r="AG28" s="41"/>
      <c r="AH28" s="41"/>
      <c r="AI28" s="41"/>
      <c r="AJ28" s="41"/>
      <c r="AK28" s="41"/>
      <c r="AL28" s="41"/>
      <c r="AM28" s="41"/>
      <c r="AN28" s="41"/>
    </row>
    <row r="29" spans="1:42" ht="18" customHeight="1" x14ac:dyDescent="0.3">
      <c r="A29" s="40" t="s">
        <v>22</v>
      </c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1">
        <f>SUM(X15:AC27)</f>
        <v>0</v>
      </c>
      <c r="AE29" s="41"/>
      <c r="AF29" s="41"/>
      <c r="AG29" s="41"/>
      <c r="AH29" s="41"/>
      <c r="AI29" s="41"/>
      <c r="AJ29" s="41"/>
      <c r="AK29" s="41"/>
      <c r="AL29" s="41"/>
      <c r="AM29" s="41"/>
      <c r="AN29" s="41"/>
    </row>
    <row r="30" spans="1:42" ht="21" customHeight="1" x14ac:dyDescent="0.3">
      <c r="A30" s="40" t="s">
        <v>23</v>
      </c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2">
        <f>SUM(AD28:AN29)</f>
        <v>0</v>
      </c>
      <c r="AE30" s="42"/>
      <c r="AF30" s="42"/>
      <c r="AG30" s="42"/>
      <c r="AH30" s="42"/>
      <c r="AI30" s="42"/>
      <c r="AJ30" s="42"/>
      <c r="AK30" s="42"/>
      <c r="AL30" s="42"/>
      <c r="AM30" s="42"/>
      <c r="AN30" s="42"/>
    </row>
    <row r="31" spans="1:42" ht="18" customHeight="1" x14ac:dyDescent="0.3">
      <c r="A31" s="40" t="s">
        <v>65</v>
      </c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1">
        <f>IF(AD28&lt;1000000,+AD28-AD30*2%,IF(AD28&lt;5000000,+AD28-AD30*5%,IF(AD28&lt;10000000,+AD28-AD30*10%,IF(AD28&lt;30000000,+AD28-AD30*15%,IF(AD28&gt;30000000,+AD28-AD30*20%)))))</f>
        <v>0</v>
      </c>
      <c r="AE31" s="41"/>
      <c r="AF31" s="41"/>
      <c r="AG31" s="41"/>
      <c r="AH31" s="41"/>
      <c r="AI31" s="41"/>
      <c r="AJ31" s="41"/>
      <c r="AK31" s="41"/>
      <c r="AL31" s="41"/>
      <c r="AM31" s="41"/>
      <c r="AN31" s="41"/>
    </row>
    <row r="34" spans="2:5" x14ac:dyDescent="0.3">
      <c r="B34" s="25"/>
      <c r="C34" s="25"/>
      <c r="D34" s="25"/>
      <c r="E34" s="25"/>
    </row>
    <row r="35" spans="2:5" x14ac:dyDescent="0.3">
      <c r="B35" s="25"/>
      <c r="C35" s="25"/>
      <c r="D35" s="25"/>
      <c r="E35" s="25"/>
    </row>
  </sheetData>
  <sheetProtection sheet="1" objects="1" scenarios="1" selectLockedCells="1" selectUnlockedCells="1"/>
  <protectedRanges>
    <protectedRange sqref="AK5:AM5" name="Rango1"/>
  </protectedRanges>
  <dataConsolidate function="max"/>
  <mergeCells count="94">
    <mergeCell ref="U26:W26"/>
    <mergeCell ref="A31:AC31"/>
    <mergeCell ref="AD28:AN28"/>
    <mergeCell ref="AD29:AN29"/>
    <mergeCell ref="AD30:AN30"/>
    <mergeCell ref="AD31:AN31"/>
    <mergeCell ref="A28:AC28"/>
    <mergeCell ref="A29:AC29"/>
    <mergeCell ref="X26:AC26"/>
    <mergeCell ref="AD26:AN26"/>
    <mergeCell ref="A30:AC30"/>
    <mergeCell ref="X27:AC27"/>
    <mergeCell ref="U27:W27"/>
    <mergeCell ref="AD27:AN27"/>
    <mergeCell ref="D27:T27"/>
    <mergeCell ref="A27:C27"/>
    <mergeCell ref="AD22:AN22"/>
    <mergeCell ref="AD23:AN23"/>
    <mergeCell ref="AD24:AN24"/>
    <mergeCell ref="AD25:AN25"/>
    <mergeCell ref="X23:AC23"/>
    <mergeCell ref="X24:AC24"/>
    <mergeCell ref="X25:AC25"/>
    <mergeCell ref="U22:W22"/>
    <mergeCell ref="U23:W23"/>
    <mergeCell ref="D22:T22"/>
    <mergeCell ref="D23:T23"/>
    <mergeCell ref="AD14:AN14"/>
    <mergeCell ref="U15:W15"/>
    <mergeCell ref="U16:W16"/>
    <mergeCell ref="U17:W17"/>
    <mergeCell ref="U18:W18"/>
    <mergeCell ref="AD15:AN15"/>
    <mergeCell ref="AD16:AN16"/>
    <mergeCell ref="AD17:AN17"/>
    <mergeCell ref="AD18:AN18"/>
    <mergeCell ref="AD19:AN19"/>
    <mergeCell ref="AD20:AN20"/>
    <mergeCell ref="AD21:AN21"/>
    <mergeCell ref="D14:T14"/>
    <mergeCell ref="D20:T20"/>
    <mergeCell ref="D15:T15"/>
    <mergeCell ref="D16:T16"/>
    <mergeCell ref="D17:T17"/>
    <mergeCell ref="D18:T18"/>
    <mergeCell ref="D19:T19"/>
    <mergeCell ref="A21:C21"/>
    <mergeCell ref="U20:W20"/>
    <mergeCell ref="U21:W21"/>
    <mergeCell ref="X15:AC15"/>
    <mergeCell ref="X16:AC16"/>
    <mergeCell ref="A15:C15"/>
    <mergeCell ref="A16:C16"/>
    <mergeCell ref="D21:T21"/>
    <mergeCell ref="U19:W19"/>
    <mergeCell ref="X19:AC19"/>
    <mergeCell ref="X20:AC20"/>
    <mergeCell ref="X21:AC21"/>
    <mergeCell ref="A17:C17"/>
    <mergeCell ref="A18:C18"/>
    <mergeCell ref="A19:C19"/>
    <mergeCell ref="A20:C20"/>
    <mergeCell ref="A1:E6"/>
    <mergeCell ref="P12:Z12"/>
    <mergeCell ref="AK2:AM2"/>
    <mergeCell ref="A25:C25"/>
    <mergeCell ref="A26:C26"/>
    <mergeCell ref="A22:C22"/>
    <mergeCell ref="A23:C23"/>
    <mergeCell ref="A24:C24"/>
    <mergeCell ref="D24:T24"/>
    <mergeCell ref="D25:T25"/>
    <mergeCell ref="D26:T26"/>
    <mergeCell ref="X22:AC22"/>
    <mergeCell ref="U24:W24"/>
    <mergeCell ref="U25:W25"/>
    <mergeCell ref="X17:AC17"/>
    <mergeCell ref="X18:AC18"/>
    <mergeCell ref="AK5:AM5"/>
    <mergeCell ref="AK4:AM4"/>
    <mergeCell ref="AK1:AM1"/>
    <mergeCell ref="B34:E35"/>
    <mergeCell ref="A14:C14"/>
    <mergeCell ref="O3:Z3"/>
    <mergeCell ref="O5:Y5"/>
    <mergeCell ref="F9:K9"/>
    <mergeCell ref="U14:W14"/>
    <mergeCell ref="X14:AC14"/>
    <mergeCell ref="F10:K10"/>
    <mergeCell ref="F11:K11"/>
    <mergeCell ref="P9:Z9"/>
    <mergeCell ref="P10:Z10"/>
    <mergeCell ref="P11:Z11"/>
    <mergeCell ref="F12:H12"/>
  </mergeCells>
  <phoneticPr fontId="3" type="noConversion"/>
  <dataValidations count="3">
    <dataValidation type="list" allowBlank="1" showInputMessage="1" showErrorMessage="1" sqref="A15:C27" xr:uid="{46C9471C-C8E8-44F8-8909-DB0E9DF2B654}">
      <formula1>CODIGOS</formula1>
    </dataValidation>
    <dataValidation type="list" allowBlank="1" showInputMessage="1" showErrorMessage="1" sqref="P9:Z9" xr:uid="{C30B277C-D597-4C7B-BE54-22D74320C5E9}">
      <formula1>Nombre_Empleado</formula1>
    </dataValidation>
    <dataValidation type="list" allowBlank="1" showInputMessage="1" showErrorMessage="1" sqref="AK5:AM5" xr:uid="{4CD2D322-D160-42A0-8BFF-CDD129FA6789}">
      <formula1>Cod_Product</formula1>
    </dataValidation>
  </dataValidations>
  <pageMargins left="0.70866141732283472" right="0.70866141732283472" top="0.78740157480314965" bottom="0.74803149606299213" header="0.31496062992125984" footer="0.31496062992125984"/>
  <pageSetup scale="88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80FF5-BCD6-45D3-8B64-0FB674C3AB09}">
  <sheetPr codeName="Hoja6"/>
  <dimension ref="A1:AF28"/>
  <sheetViews>
    <sheetView zoomScaleNormal="100" workbookViewId="0">
      <selection activeCell="Q3" sqref="Q3:S3"/>
    </sheetView>
  </sheetViews>
  <sheetFormatPr baseColWidth="10" defaultColWidth="3" defaultRowHeight="14.4" x14ac:dyDescent="0.3"/>
  <cols>
    <col min="5" max="5" width="8.77734375" customWidth="1"/>
    <col min="20" max="34" width="6.44140625" bestFit="1" customWidth="1"/>
  </cols>
  <sheetData>
    <row r="1" spans="1:32" x14ac:dyDescent="0.3">
      <c r="E1" s="26" t="s">
        <v>69</v>
      </c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</row>
    <row r="2" spans="1:32" x14ac:dyDescent="0.3">
      <c r="E2" s="18" t="s">
        <v>68</v>
      </c>
      <c r="F2" s="43" t="s">
        <v>24</v>
      </c>
      <c r="G2" s="44"/>
      <c r="H2" s="44"/>
      <c r="I2" s="44"/>
      <c r="J2" s="44"/>
      <c r="K2" s="44"/>
      <c r="L2" s="44"/>
      <c r="M2" s="44"/>
      <c r="N2" s="44"/>
      <c r="O2" s="44"/>
      <c r="P2" s="45"/>
      <c r="Q2" s="43" t="s">
        <v>66</v>
      </c>
      <c r="R2" s="44"/>
      <c r="S2" s="45"/>
      <c r="T2" s="17" t="s">
        <v>70</v>
      </c>
      <c r="U2" s="17" t="s">
        <v>71</v>
      </c>
      <c r="V2" s="17" t="s">
        <v>72</v>
      </c>
      <c r="W2" s="17" t="s">
        <v>73</v>
      </c>
      <c r="X2" s="17" t="s">
        <v>74</v>
      </c>
      <c r="Y2" s="17" t="s">
        <v>75</v>
      </c>
      <c r="Z2" s="17" t="s">
        <v>76</v>
      </c>
      <c r="AA2" s="17" t="s">
        <v>77</v>
      </c>
      <c r="AB2" s="17" t="s">
        <v>78</v>
      </c>
      <c r="AC2" s="17" t="s">
        <v>79</v>
      </c>
      <c r="AD2" s="17" t="s">
        <v>80</v>
      </c>
      <c r="AE2" s="17" t="s">
        <v>81</v>
      </c>
      <c r="AF2" s="17" t="s">
        <v>82</v>
      </c>
    </row>
    <row r="3" spans="1:32" x14ac:dyDescent="0.3">
      <c r="E3" s="19">
        <v>5</v>
      </c>
      <c r="F3" s="43" t="s">
        <v>28</v>
      </c>
      <c r="G3" s="44"/>
      <c r="H3" s="44"/>
      <c r="I3" s="44"/>
      <c r="J3" s="44"/>
      <c r="K3" s="44"/>
      <c r="L3" s="44"/>
      <c r="M3" s="44"/>
      <c r="N3" s="44"/>
      <c r="O3" s="44"/>
      <c r="P3" s="45"/>
      <c r="Q3" s="46">
        <v>44782</v>
      </c>
      <c r="R3" s="47"/>
      <c r="S3" s="48"/>
      <c r="T3" s="21" t="s">
        <v>17</v>
      </c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</row>
    <row r="4" spans="1:32" x14ac:dyDescent="0.3">
      <c r="E4" s="19">
        <v>5</v>
      </c>
      <c r="F4" s="43" t="s">
        <v>28</v>
      </c>
      <c r="G4" s="44"/>
      <c r="H4" s="44"/>
      <c r="I4" s="44"/>
      <c r="J4" s="44"/>
      <c r="K4" s="44"/>
      <c r="L4" s="44"/>
      <c r="M4" s="44"/>
      <c r="N4" s="44"/>
      <c r="O4" s="44"/>
      <c r="P4" s="45"/>
      <c r="Q4" s="46">
        <v>44781</v>
      </c>
      <c r="R4" s="47"/>
      <c r="S4" s="48"/>
      <c r="T4" s="20"/>
      <c r="U4" s="20"/>
      <c r="V4" s="20"/>
      <c r="W4" s="20" t="s">
        <v>19</v>
      </c>
      <c r="X4" s="20"/>
      <c r="Y4" s="20"/>
      <c r="Z4" s="20"/>
      <c r="AA4" s="20"/>
      <c r="AB4" s="20"/>
      <c r="AC4" s="20"/>
      <c r="AD4" s="20"/>
      <c r="AE4" s="20"/>
      <c r="AF4" s="20"/>
    </row>
    <row r="5" spans="1:32" x14ac:dyDescent="0.3">
      <c r="E5" s="19">
        <v>4</v>
      </c>
      <c r="F5" s="43" t="s">
        <v>34</v>
      </c>
      <c r="G5" s="44"/>
      <c r="H5" s="44"/>
      <c r="I5" s="44"/>
      <c r="J5" s="44"/>
      <c r="K5" s="44"/>
      <c r="L5" s="44"/>
      <c r="M5" s="44"/>
      <c r="N5" s="44"/>
      <c r="O5" s="44"/>
      <c r="P5" s="45"/>
      <c r="Q5" s="46">
        <v>44781</v>
      </c>
      <c r="R5" s="47"/>
      <c r="S5" s="48"/>
      <c r="T5" s="20"/>
      <c r="U5" s="20"/>
      <c r="V5" s="20"/>
      <c r="W5" s="20"/>
      <c r="X5" s="20" t="s">
        <v>13</v>
      </c>
      <c r="Y5" s="20"/>
      <c r="Z5" s="20"/>
      <c r="AA5" s="20"/>
      <c r="AB5" s="20"/>
      <c r="AC5" s="20"/>
      <c r="AD5" s="20"/>
      <c r="AE5" s="20"/>
      <c r="AF5" s="20"/>
    </row>
    <row r="6" spans="1:32" x14ac:dyDescent="0.3">
      <c r="E6" s="19">
        <v>3</v>
      </c>
      <c r="F6" s="43" t="s">
        <v>37</v>
      </c>
      <c r="G6" s="44"/>
      <c r="H6" s="44"/>
      <c r="I6" s="44"/>
      <c r="J6" s="44"/>
      <c r="K6" s="44"/>
      <c r="L6" s="44"/>
      <c r="M6" s="44"/>
      <c r="N6" s="44"/>
      <c r="O6" s="44"/>
      <c r="P6" s="45"/>
      <c r="Q6" s="46">
        <v>44780</v>
      </c>
      <c r="R6" s="47"/>
      <c r="S6" s="48"/>
      <c r="T6" s="17" t="s">
        <v>15</v>
      </c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</row>
    <row r="15" spans="1:32" x14ac:dyDescent="0.3">
      <c r="A15" s="16"/>
      <c r="B15" s="16"/>
      <c r="C15" s="16"/>
    </row>
    <row r="16" spans="1:32" x14ac:dyDescent="0.3">
      <c r="A16" s="16"/>
      <c r="B16" s="16"/>
      <c r="C16" s="16"/>
    </row>
    <row r="17" spans="1:5" x14ac:dyDescent="0.3">
      <c r="A17" s="16"/>
      <c r="B17" s="16"/>
      <c r="C17" s="16"/>
    </row>
    <row r="18" spans="1:5" x14ac:dyDescent="0.3">
      <c r="A18" s="16"/>
      <c r="B18" s="16"/>
      <c r="C18" s="16"/>
    </row>
    <row r="19" spans="1:5" x14ac:dyDescent="0.3">
      <c r="A19" s="16"/>
      <c r="B19" s="16"/>
      <c r="C19" s="16"/>
    </row>
    <row r="20" spans="1:5" x14ac:dyDescent="0.3">
      <c r="A20" s="16"/>
      <c r="B20" s="16"/>
      <c r="C20" s="16"/>
    </row>
    <row r="21" spans="1:5" x14ac:dyDescent="0.3">
      <c r="A21" s="16"/>
      <c r="B21" s="16"/>
      <c r="C21" s="16"/>
    </row>
    <row r="22" spans="1:5" x14ac:dyDescent="0.3">
      <c r="A22" s="16"/>
      <c r="B22" s="16"/>
      <c r="C22" s="16"/>
    </row>
    <row r="23" spans="1:5" x14ac:dyDescent="0.3">
      <c r="A23" s="16"/>
      <c r="B23" s="16"/>
      <c r="C23" s="16"/>
    </row>
    <row r="24" spans="1:5" x14ac:dyDescent="0.3">
      <c r="A24" s="16"/>
      <c r="B24" s="16"/>
      <c r="C24" s="16"/>
    </row>
    <row r="25" spans="1:5" x14ac:dyDescent="0.3">
      <c r="A25" s="16"/>
      <c r="B25" s="16"/>
      <c r="C25" s="16"/>
    </row>
    <row r="26" spans="1:5" x14ac:dyDescent="0.3">
      <c r="A26" s="16"/>
      <c r="B26" s="16"/>
      <c r="C26" s="16"/>
      <c r="E26" s="14"/>
    </row>
    <row r="27" spans="1:5" x14ac:dyDescent="0.3">
      <c r="A27" s="16"/>
      <c r="B27" s="16"/>
      <c r="C27" s="16"/>
      <c r="E27" s="14"/>
    </row>
    <row r="28" spans="1:5" x14ac:dyDescent="0.3">
      <c r="A28" s="16"/>
      <c r="B28" s="16"/>
      <c r="C28" s="16"/>
    </row>
  </sheetData>
  <dataConsolidate/>
  <mergeCells count="11">
    <mergeCell ref="Q2:S2"/>
    <mergeCell ref="F2:P2"/>
    <mergeCell ref="E1:AF1"/>
    <mergeCell ref="F6:P6"/>
    <mergeCell ref="Q6:S6"/>
    <mergeCell ref="F5:P5"/>
    <mergeCell ref="Q5:S5"/>
    <mergeCell ref="F4:P4"/>
    <mergeCell ref="Q4:S4"/>
    <mergeCell ref="F3:P3"/>
    <mergeCell ref="Q3:S3"/>
  </mergeCells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C1D55-DB74-40D6-8CF7-21D5FD7E9D09}">
  <sheetPr codeName="Hoja4"/>
  <dimension ref="A1:C1"/>
  <sheetViews>
    <sheetView workbookViewId="0">
      <selection activeCell="C18" sqref="C18:D21"/>
    </sheetView>
  </sheetViews>
  <sheetFormatPr baseColWidth="10" defaultRowHeight="14.4" x14ac:dyDescent="0.3"/>
  <sheetData>
    <row r="1" spans="1:3" x14ac:dyDescent="0.3">
      <c r="A1" s="49"/>
      <c r="B1" s="49"/>
      <c r="C1" s="49"/>
    </row>
  </sheetData>
  <mergeCells count="1">
    <mergeCell ref="A1:C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6C93E-F9E2-41D9-A9ED-8ADEB14BF1C2}">
  <sheetPr codeName="Hoja2">
    <pageSetUpPr fitToPage="1"/>
  </sheetPr>
  <dimension ref="B4:E10"/>
  <sheetViews>
    <sheetView workbookViewId="0">
      <selection activeCell="B10" sqref="B10"/>
    </sheetView>
  </sheetViews>
  <sheetFormatPr baseColWidth="10" defaultColWidth="11.44140625" defaultRowHeight="14.4" x14ac:dyDescent="0.3"/>
  <cols>
    <col min="2" max="2" width="16.109375" bestFit="1" customWidth="1"/>
    <col min="3" max="3" width="17.33203125" bestFit="1" customWidth="1"/>
    <col min="4" max="4" width="13.5546875" bestFit="1" customWidth="1"/>
    <col min="5" max="5" width="17.33203125" bestFit="1" customWidth="1"/>
  </cols>
  <sheetData>
    <row r="4" spans="2:5" x14ac:dyDescent="0.3">
      <c r="B4" s="4" t="s">
        <v>24</v>
      </c>
      <c r="C4" s="4" t="s">
        <v>25</v>
      </c>
      <c r="D4" s="4" t="s">
        <v>26</v>
      </c>
      <c r="E4" s="4" t="s">
        <v>27</v>
      </c>
    </row>
    <row r="5" spans="2:5" x14ac:dyDescent="0.3">
      <c r="B5" s="4" t="s">
        <v>28</v>
      </c>
      <c r="C5" s="10">
        <v>1025461380</v>
      </c>
      <c r="D5" s="4" t="s">
        <v>29</v>
      </c>
      <c r="E5" s="4" t="s">
        <v>30</v>
      </c>
    </row>
    <row r="6" spans="2:5" x14ac:dyDescent="0.3">
      <c r="B6" s="4" t="s">
        <v>31</v>
      </c>
      <c r="C6" s="10">
        <v>1098926370</v>
      </c>
      <c r="D6" s="4" t="s">
        <v>32</v>
      </c>
      <c r="E6" s="4" t="s">
        <v>33</v>
      </c>
    </row>
    <row r="7" spans="2:5" x14ac:dyDescent="0.3">
      <c r="B7" s="4" t="s">
        <v>34</v>
      </c>
      <c r="C7" s="10">
        <v>5227080</v>
      </c>
      <c r="D7" s="4" t="s">
        <v>35</v>
      </c>
      <c r="E7" s="4" t="s">
        <v>36</v>
      </c>
    </row>
    <row r="8" spans="2:5" x14ac:dyDescent="0.3">
      <c r="B8" s="4" t="s">
        <v>37</v>
      </c>
      <c r="C8" s="10">
        <v>8935048</v>
      </c>
      <c r="D8" s="4" t="s">
        <v>38</v>
      </c>
      <c r="E8" s="4" t="s">
        <v>39</v>
      </c>
    </row>
    <row r="9" spans="2:5" x14ac:dyDescent="0.3">
      <c r="B9" s="4" t="s">
        <v>40</v>
      </c>
      <c r="C9" s="10">
        <v>10093674</v>
      </c>
      <c r="D9" s="4" t="s">
        <v>41</v>
      </c>
      <c r="E9" s="4" t="s">
        <v>42</v>
      </c>
    </row>
    <row r="10" spans="2:5" x14ac:dyDescent="0.3">
      <c r="B10" s="4" t="s">
        <v>4</v>
      </c>
      <c r="C10" s="10">
        <v>1000554334</v>
      </c>
      <c r="D10" s="4" t="s">
        <v>43</v>
      </c>
      <c r="E10" s="4" t="s">
        <v>44</v>
      </c>
    </row>
  </sheetData>
  <pageMargins left="0.7" right="0.7" top="0.75" bottom="0.75" header="0.3" footer="0.3"/>
  <pageSetup paperSize="9" fitToWidth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4A497-0F4D-4308-8A47-9880C9BB0162}">
  <sheetPr codeName="Hoja3">
    <pageSetUpPr fitToPage="1"/>
  </sheetPr>
  <dimension ref="B4:I22"/>
  <sheetViews>
    <sheetView workbookViewId="0">
      <selection activeCell="C32" sqref="C32"/>
    </sheetView>
  </sheetViews>
  <sheetFormatPr baseColWidth="10" defaultColWidth="11.44140625" defaultRowHeight="14.4" x14ac:dyDescent="0.3"/>
  <cols>
    <col min="3" max="3" width="37.5546875" bestFit="1" customWidth="1"/>
    <col min="5" max="5" width="14.5546875" bestFit="1" customWidth="1"/>
  </cols>
  <sheetData>
    <row r="4" spans="2:5" x14ac:dyDescent="0.3">
      <c r="B4" s="4" t="s">
        <v>8</v>
      </c>
      <c r="C4" s="7" t="s">
        <v>45</v>
      </c>
      <c r="D4" s="4" t="s">
        <v>11</v>
      </c>
      <c r="E4" s="7" t="s">
        <v>12</v>
      </c>
    </row>
    <row r="5" spans="2:5" x14ac:dyDescent="0.3">
      <c r="B5" s="4" t="s">
        <v>46</v>
      </c>
      <c r="C5" s="4" t="s">
        <v>47</v>
      </c>
      <c r="D5" s="6">
        <v>0.05</v>
      </c>
      <c r="E5" s="8">
        <v>180000</v>
      </c>
    </row>
    <row r="6" spans="2:5" x14ac:dyDescent="0.3">
      <c r="B6" s="4" t="s">
        <v>17</v>
      </c>
      <c r="C6" s="4" t="s">
        <v>48</v>
      </c>
      <c r="D6" s="6">
        <v>0.08</v>
      </c>
      <c r="E6" s="8">
        <v>470000</v>
      </c>
    </row>
    <row r="7" spans="2:5" x14ac:dyDescent="0.3">
      <c r="B7" s="4" t="s">
        <v>13</v>
      </c>
      <c r="C7" s="4" t="s">
        <v>49</v>
      </c>
      <c r="D7" s="6">
        <v>0.1</v>
      </c>
      <c r="E7" s="8">
        <v>250000</v>
      </c>
    </row>
    <row r="8" spans="2:5" x14ac:dyDescent="0.3">
      <c r="B8" s="4" t="s">
        <v>15</v>
      </c>
      <c r="C8" s="4" t="s">
        <v>50</v>
      </c>
      <c r="D8" s="6">
        <v>0.15</v>
      </c>
      <c r="E8" s="8">
        <v>130000</v>
      </c>
    </row>
    <row r="9" spans="2:5" x14ac:dyDescent="0.3">
      <c r="B9" s="4" t="s">
        <v>18</v>
      </c>
      <c r="C9" s="4" t="s">
        <v>51</v>
      </c>
      <c r="D9" s="6">
        <v>0.04</v>
      </c>
      <c r="E9" s="8">
        <v>240000</v>
      </c>
    </row>
    <row r="10" spans="2:5" x14ac:dyDescent="0.3">
      <c r="B10" s="4" t="s">
        <v>19</v>
      </c>
      <c r="C10" s="4" t="s">
        <v>52</v>
      </c>
      <c r="D10" s="6">
        <v>0.16</v>
      </c>
      <c r="E10" s="8">
        <v>2000000</v>
      </c>
    </row>
    <row r="11" spans="2:5" x14ac:dyDescent="0.3">
      <c r="B11" s="4" t="s">
        <v>53</v>
      </c>
      <c r="C11" s="4" t="s">
        <v>54</v>
      </c>
      <c r="D11" s="6">
        <v>0.02</v>
      </c>
      <c r="E11" s="8">
        <v>2500000</v>
      </c>
    </row>
    <row r="12" spans="2:5" x14ac:dyDescent="0.3">
      <c r="B12" s="4" t="s">
        <v>55</v>
      </c>
      <c r="C12" s="4" t="s">
        <v>56</v>
      </c>
      <c r="D12" s="6">
        <v>0.04</v>
      </c>
      <c r="E12" s="8">
        <v>180007</v>
      </c>
    </row>
    <row r="13" spans="2:5" x14ac:dyDescent="0.3">
      <c r="B13" s="4" t="s">
        <v>57</v>
      </c>
      <c r="C13" s="4" t="s">
        <v>58</v>
      </c>
      <c r="D13" s="6">
        <v>0.08</v>
      </c>
      <c r="E13" s="8">
        <v>400000</v>
      </c>
    </row>
    <row r="14" spans="2:5" x14ac:dyDescent="0.3">
      <c r="B14" s="4" t="s">
        <v>14</v>
      </c>
      <c r="C14" s="4" t="s">
        <v>59</v>
      </c>
      <c r="D14" s="6">
        <v>0.04</v>
      </c>
      <c r="E14" s="8">
        <v>120000</v>
      </c>
    </row>
    <row r="15" spans="2:5" x14ac:dyDescent="0.3">
      <c r="B15" s="4" t="s">
        <v>20</v>
      </c>
      <c r="C15" s="4" t="s">
        <v>60</v>
      </c>
      <c r="D15" s="6">
        <v>0.11</v>
      </c>
      <c r="E15" s="8">
        <v>200000</v>
      </c>
    </row>
    <row r="16" spans="2:5" x14ac:dyDescent="0.3">
      <c r="B16" s="4" t="s">
        <v>61</v>
      </c>
      <c r="C16" s="4" t="s">
        <v>62</v>
      </c>
      <c r="D16" s="6">
        <v>0.12</v>
      </c>
      <c r="E16" s="8">
        <v>500000</v>
      </c>
    </row>
    <row r="17" spans="2:9" x14ac:dyDescent="0.3">
      <c r="B17" s="4" t="s">
        <v>16</v>
      </c>
      <c r="C17" s="4" t="s">
        <v>63</v>
      </c>
      <c r="D17" s="6">
        <v>0.13</v>
      </c>
      <c r="E17" s="8">
        <v>350000</v>
      </c>
    </row>
    <row r="18" spans="2:9" x14ac:dyDescent="0.3">
      <c r="C18" s="5"/>
    </row>
    <row r="22" spans="2:9" x14ac:dyDescent="0.3">
      <c r="I22" t="s">
        <v>64</v>
      </c>
    </row>
  </sheetData>
  <phoneticPr fontId="3" type="noConversion"/>
  <pageMargins left="0.7" right="0.7" top="0.75" bottom="0.75" header="0.3" footer="0.3"/>
  <pageSetup paperSize="9" fitToWidth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8AB6E-E082-49B1-85C6-3289207742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8</vt:i4>
      </vt:variant>
    </vt:vector>
  </HeadingPairs>
  <TitlesOfParts>
    <vt:vector size="13" baseType="lpstr">
      <vt:lpstr>BUSQUEDA</vt:lpstr>
      <vt:lpstr>FACTURAS</vt:lpstr>
      <vt:lpstr>MEMORIA</vt:lpstr>
      <vt:lpstr>EMPLEADOS</vt:lpstr>
      <vt:lpstr>PRODUCTOS</vt:lpstr>
      <vt:lpstr>Cod_Product</vt:lpstr>
      <vt:lpstr>CODIGOS</vt:lpstr>
      <vt:lpstr>Empleados</vt:lpstr>
      <vt:lpstr>LISTA</vt:lpstr>
      <vt:lpstr>Nombre_Empleado</vt:lpstr>
      <vt:lpstr>PORCENTAJE</vt:lpstr>
      <vt:lpstr>PRECIOS</vt:lpstr>
      <vt:lpstr>PRODUCTOS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APRENDIZ</dc:creator>
  <cp:keywords/>
  <dc:description/>
  <cp:lastModifiedBy>Administrador</cp:lastModifiedBy>
  <cp:revision/>
  <dcterms:created xsi:type="dcterms:W3CDTF">2022-07-27T23:30:22Z</dcterms:created>
  <dcterms:modified xsi:type="dcterms:W3CDTF">2022-08-10T03:05:54Z</dcterms:modified>
  <cp:category/>
  <cp:contentStatus/>
</cp:coreProperties>
</file>
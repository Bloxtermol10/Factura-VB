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18" documentId="8_{A2AE784F-08DA-4ECD-9F67-E8D627C55251}" xr6:coauthVersionLast="47" xr6:coauthVersionMax="47" xr10:uidLastSave="{C4D27362-A5C0-40DA-BADA-7884D632FEBB}"/>
  <bookViews>
    <workbookView xWindow="-108" yWindow="-108" windowWidth="23256" windowHeight="13176" activeTab="1" xr2:uid="{E7BCC358-6F38-4867-B30C-32EEB422F7F0}"/>
  </bookViews>
  <sheets>
    <sheet name="BUSQUEDA" sheetId="2" r:id="rId1"/>
    <sheet name="FACTURAS" sheetId="8" r:id="rId2"/>
    <sheet name="MEMORIA" sheetId="6" r:id="rId3"/>
    <sheet name="EMPLEADOS" sheetId="4" r:id="rId4"/>
    <sheet name="PRODUCTOS" sheetId="3" r:id="rId5"/>
  </sheets>
  <definedNames>
    <definedName name="_xlnm._FilterDatabase" localSheetId="0" hidden="1">BUSQUEDA!$D$15:$T$27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6" l="1"/>
  <c r="AK2" i="2"/>
  <c r="P10" i="2"/>
  <c r="P11" i="2" s="1"/>
  <c r="P12" i="2" s="1"/>
  <c r="X26" i="2"/>
  <c r="AD26" i="2" s="1"/>
  <c r="X16" i="2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7" i="2"/>
  <c r="AD27" i="2" s="1"/>
  <c r="D22" i="2"/>
  <c r="D16" i="2"/>
  <c r="D17" i="2"/>
  <c r="D18" i="2"/>
  <c r="D19" i="2"/>
  <c r="D20" i="2"/>
  <c r="D21" i="2"/>
  <c r="D23" i="2"/>
  <c r="D24" i="2"/>
  <c r="D25" i="2"/>
  <c r="D26" i="2"/>
  <c r="D27" i="2"/>
  <c r="D15" i="2"/>
  <c r="X15" i="2"/>
  <c r="AD15" i="2" s="1"/>
  <c r="AD28" i="2" l="1"/>
  <c r="AD29" i="2"/>
  <c r="AD30" i="2" l="1"/>
  <c r="AD3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<sst xmlns="http://schemas.openxmlformats.org/spreadsheetml/2006/main" count="95" uniqueCount="83">
  <si>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</si>
  <si>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</si>
  <si>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</si>
  <si>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</si>
  <si>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</si>
  <si>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</si>
  <si>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</si>
  <si>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</si>
  <si>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</si>
  <si>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</si>
  <si>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</si>
  <si>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</si>
  <si>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</si>
  <si>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</si>
  <si>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</si>
  <si>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</si>
  <si>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</si>
  <si>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</si>
  <si>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</si>
  <si>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</si>
  <si>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</si>
  <si>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</si>
  <si>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</si>
  <si>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</si>
  <si>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</si>
  <si>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</si>
  <si>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</si>
  <si>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</si>
  <si>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</si>
  <si>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</si>
  <si>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</si>
  <si>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</si>
  <si>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</si>
  <si>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</si>
  <si>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</si>
  <si>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</si>
  <si>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</si>
  <si>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</si>
  <si>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</si>
  <si>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</si>
  <si>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</si>
  <si>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</si>
  <si>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</si>
  <si>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</si>
  <si>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</si>
  <si>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</si>
  <si>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</si>
  <si>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</si>
  <si>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</si>
  <si>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</si>
  <si>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</si>
  <si>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</si>
  <si>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</si>
  <si>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</si>
  <si>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</si>
  <si>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</si>
  <si>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</si>
  <si>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</si>
  <si>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</si>
  <si>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</si>
  <si>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</si>
  <si>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</si>
  <si>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</si>
  <si>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</si>
  <si>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</si>
  <si>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</si>
  <si>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Fecha</t>
  </si>
  <si>
    <t>No Factura</t>
  </si>
  <si>
    <t>Codigo</t>
  </si>
  <si>
    <t>Facturas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</si>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</sst>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dd\-mm\-yy;@"/>
    <numFmt numFmtId="166" formatCode="&quot;ABC -&quot;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9" fontId="0" fillId="0" borderId="7" xfId="2" applyFont="1" applyBorder="1"/>
    <xf numFmtId="0" fontId="0" fillId="0" borderId="9" xfId="0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166" fontId="0" fillId="0" borderId="0" xfId="0" applyNumberFormat="1"/>
    <xf numFmtId="2" fontId="0" fillId="0" borderId="0" xfId="0" applyNumberFormat="1"/>
    <xf numFmtId="0" fontId="0" fillId="0" borderId="7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166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6" fontId="0" fillId="0" borderId="10" xfId="3" applyNumberFormat="1" applyFont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zoomScaleNormal="100" workbookViewId="0">
      <selection activeCell="U15" sqref="U15:W27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28"/>
      <c r="B1" s="22"/>
      <c r="C1" s="22"/>
      <c r="D1" s="22"/>
      <c r="E1" s="2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22" t="s">
        <v>0</v>
      </c>
      <c r="AL1" s="22"/>
      <c r="AM1" s="22"/>
      <c r="AN1" s="13"/>
    </row>
    <row r="2" spans="1:42" x14ac:dyDescent="0.3">
      <c r="A2" s="29"/>
      <c r="B2" s="21"/>
      <c r="C2" s="21"/>
      <c r="D2" s="21"/>
      <c r="E2" s="21"/>
      <c r="AK2" s="31">
        <f ca="1">TODAY()</f>
        <v>44780</v>
      </c>
      <c r="AL2" s="31"/>
      <c r="AM2" s="31"/>
      <c r="AN2" s="11"/>
    </row>
    <row r="3" spans="1:42" x14ac:dyDescent="0.3">
      <c r="A3" s="29"/>
      <c r="B3" s="21"/>
      <c r="C3" s="21"/>
      <c r="D3" s="21"/>
      <c r="E3" s="21"/>
      <c r="O3" s="25" t="s">
        <v>1</v>
      </c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N3" s="3"/>
    </row>
    <row r="4" spans="1:42" x14ac:dyDescent="0.3">
      <c r="A4" s="29"/>
      <c r="B4" s="21"/>
      <c r="C4" s="21"/>
      <c r="D4" s="21"/>
      <c r="E4" s="21"/>
      <c r="AK4" s="21" t="s">
        <v>67</v>
      </c>
      <c r="AL4" s="21"/>
      <c r="AM4" s="21"/>
      <c r="AN4" s="12"/>
    </row>
    <row r="5" spans="1:42" ht="15" customHeight="1" x14ac:dyDescent="0.3">
      <c r="A5" s="29"/>
      <c r="B5" s="21"/>
      <c r="C5" s="21"/>
      <c r="D5" s="21"/>
      <c r="E5" s="21"/>
      <c r="O5" s="21" t="s">
        <v>2</v>
      </c>
      <c r="P5" s="21"/>
      <c r="Q5" s="21"/>
      <c r="R5" s="21"/>
      <c r="S5" s="21"/>
      <c r="T5" s="21"/>
      <c r="U5" s="21"/>
      <c r="V5" s="21"/>
      <c r="W5" s="21"/>
      <c r="X5" s="21"/>
      <c r="Y5" s="21"/>
      <c r="AJ5" t="s">
        <v>64</v>
      </c>
      <c r="AK5" s="20">
        <v>3</v>
      </c>
      <c r="AL5" s="20"/>
      <c r="AM5" s="20"/>
      <c r="AN5" s="12"/>
    </row>
    <row r="6" spans="1:42" x14ac:dyDescent="0.3">
      <c r="A6" s="29"/>
      <c r="B6" s="21"/>
      <c r="C6" s="21"/>
      <c r="D6" s="21"/>
      <c r="E6" s="21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26" t="s">
        <v>3</v>
      </c>
      <c r="G9" s="26"/>
      <c r="H9" s="26"/>
      <c r="I9" s="26"/>
      <c r="J9" s="26"/>
      <c r="K9" s="26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N9" s="3"/>
      <c r="AP9" s="14"/>
    </row>
    <row r="10" spans="1:42" ht="15" thickBot="1" x14ac:dyDescent="0.35">
      <c r="A10" s="2"/>
      <c r="F10" s="26" t="s">
        <v>5</v>
      </c>
      <c r="G10" s="26"/>
      <c r="H10" s="26"/>
      <c r="I10" s="26"/>
      <c r="J10" s="26"/>
      <c r="K10" s="26"/>
      <c r="P10" s="22" t="str">
        <f>IF(P9="","",VLOOKUP(P9,Empleados,2,FALSE))</f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N10" s="3"/>
    </row>
    <row r="11" spans="1:42" ht="15" thickBot="1" x14ac:dyDescent="0.35">
      <c r="A11" s="2"/>
      <c r="F11" s="26" t="s">
        <v>6</v>
      </c>
      <c r="G11" s="26"/>
      <c r="H11" s="26"/>
      <c r="I11" s="26"/>
      <c r="J11" s="26"/>
      <c r="K11" s="26"/>
      <c r="P11" s="22" t="str">
        <f>IF(P10="","",VLOOKUP(P9,Empleados,3,FALSE))</f>
        <v/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N11" s="3"/>
    </row>
    <row r="12" spans="1:42" ht="15" thickBot="1" x14ac:dyDescent="0.35">
      <c r="A12" s="2"/>
      <c r="F12" s="26" t="s">
        <v>7</v>
      </c>
      <c r="G12" s="26"/>
      <c r="H12" s="26"/>
      <c r="I12" s="9"/>
      <c r="J12" s="9"/>
      <c r="K12" s="9"/>
      <c r="P12" s="30" t="str">
        <f>IF(P11="","",VLOOKUP(P9,Empleados,4,FALSE))</f>
        <v/>
      </c>
      <c r="Q12" s="30"/>
      <c r="R12" s="30"/>
      <c r="S12" s="30"/>
      <c r="T12" s="30"/>
      <c r="U12" s="30"/>
      <c r="V12" s="30"/>
      <c r="W12" s="30"/>
      <c r="X12" s="30"/>
      <c r="Y12" s="30"/>
      <c r="Z12" s="30"/>
      <c r="AN12" s="3"/>
    </row>
    <row r="13" spans="1:42" x14ac:dyDescent="0.3">
      <c r="A13" s="2"/>
      <c r="AN13" s="3"/>
    </row>
    <row r="14" spans="1:42" x14ac:dyDescent="0.3">
      <c r="A14" s="24" t="s">
        <v>8</v>
      </c>
      <c r="B14" s="24"/>
      <c r="C14" s="24"/>
      <c r="D14" s="24" t="s">
        <v>9</v>
      </c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 t="s">
        <v>10</v>
      </c>
      <c r="V14" s="24"/>
      <c r="W14" s="24"/>
      <c r="X14" s="24" t="s">
        <v>11</v>
      </c>
      <c r="Y14" s="24"/>
      <c r="Z14" s="24"/>
      <c r="AA14" s="24"/>
      <c r="AB14" s="24"/>
      <c r="AC14" s="24"/>
      <c r="AD14" s="24" t="s">
        <v>12</v>
      </c>
      <c r="AE14" s="24"/>
      <c r="AF14" s="24"/>
      <c r="AG14" s="24"/>
      <c r="AH14" s="24"/>
      <c r="AI14" s="24"/>
      <c r="AJ14" s="24"/>
      <c r="AK14" s="24"/>
      <c r="AL14" s="24"/>
      <c r="AM14" s="24"/>
      <c r="AN14" s="24"/>
    </row>
    <row r="15" spans="1:42" x14ac:dyDescent="0.3">
      <c r="A15" s="32"/>
      <c r="B15" s="32"/>
      <c r="C15" s="32"/>
      <c r="D15" s="33" t="str">
        <f t="shared" ref="D15:D27" si="0">IF(A15="","",(VLOOKUP(A15,LISTA,2,FALSE)))</f>
        <v/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5"/>
      <c r="V15" s="36"/>
      <c r="W15" s="37"/>
      <c r="X15" s="34" t="str">
        <f t="shared" ref="X15:X27" si="1">IF(A15="","",(VLOOKUP(A15,LISTA,4,FALSE)*VLOOKUP($A15,LISTA,3,FALSE)*U15))</f>
        <v/>
      </c>
      <c r="Y15" s="34"/>
      <c r="Z15" s="34"/>
      <c r="AA15" s="34"/>
      <c r="AB15" s="34"/>
      <c r="AC15" s="34"/>
      <c r="AD15" s="34" t="str">
        <f t="shared" ref="AD15:AD27" si="2">IF(A15="","",((VLOOKUP(A15,LISTA,4,FALSE) + X15)*U15))</f>
        <v/>
      </c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P15" s="15"/>
    </row>
    <row r="16" spans="1:42" x14ac:dyDescent="0.3">
      <c r="A16" s="32"/>
      <c r="B16" s="32"/>
      <c r="C16" s="32"/>
      <c r="D16" s="33" t="str">
        <f t="shared" si="0"/>
        <v/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5"/>
      <c r="V16" s="36"/>
      <c r="W16" s="37"/>
      <c r="X16" s="34" t="str">
        <f t="shared" si="1"/>
        <v/>
      </c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P16" s="15"/>
    </row>
    <row r="17" spans="1:42" x14ac:dyDescent="0.3">
      <c r="A17" s="32"/>
      <c r="B17" s="32"/>
      <c r="C17" s="32"/>
      <c r="D17" s="33" t="str">
        <f t="shared" si="0"/>
        <v/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5"/>
      <c r="V17" s="36"/>
      <c r="W17" s="37"/>
      <c r="X17" s="34" t="str">
        <f t="shared" si="1"/>
        <v/>
      </c>
      <c r="Y17" s="34"/>
      <c r="Z17" s="34"/>
      <c r="AA17" s="34"/>
      <c r="AB17" s="34"/>
      <c r="AC17" s="34"/>
      <c r="AD17" s="34" t="str">
        <f t="shared" si="2"/>
        <v/>
      </c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P17" s="15"/>
    </row>
    <row r="18" spans="1:42" x14ac:dyDescent="0.3">
      <c r="A18" s="32"/>
      <c r="B18" s="32"/>
      <c r="C18" s="32"/>
      <c r="D18" s="33" t="str">
        <f t="shared" si="0"/>
        <v/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5"/>
      <c r="V18" s="36"/>
      <c r="W18" s="37"/>
      <c r="X18" s="34" t="str">
        <f t="shared" si="1"/>
        <v/>
      </c>
      <c r="Y18" s="34"/>
      <c r="Z18" s="34"/>
      <c r="AA18" s="34"/>
      <c r="AB18" s="34"/>
      <c r="AC18" s="34"/>
      <c r="AD18" s="34" t="str">
        <f t="shared" si="2"/>
        <v/>
      </c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P18" s="15"/>
    </row>
    <row r="19" spans="1:42" x14ac:dyDescent="0.3">
      <c r="A19" s="32"/>
      <c r="B19" s="32"/>
      <c r="C19" s="32"/>
      <c r="D19" s="33" t="str">
        <f t="shared" si="0"/>
        <v/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5"/>
      <c r="V19" s="36"/>
      <c r="W19" s="37"/>
      <c r="X19" s="34" t="str">
        <f t="shared" si="1"/>
        <v/>
      </c>
      <c r="Y19" s="34"/>
      <c r="Z19" s="34"/>
      <c r="AA19" s="34"/>
      <c r="AB19" s="34"/>
      <c r="AC19" s="34"/>
      <c r="AD19" s="34" t="str">
        <f t="shared" si="2"/>
        <v/>
      </c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P19" s="15"/>
    </row>
    <row r="20" spans="1:42" x14ac:dyDescent="0.3">
      <c r="A20" s="32"/>
      <c r="B20" s="32"/>
      <c r="C20" s="32"/>
      <c r="D20" s="33" t="str">
        <f t="shared" si="0"/>
        <v/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5"/>
      <c r="V20" s="36"/>
      <c r="W20" s="37"/>
      <c r="X20" s="34" t="str">
        <f t="shared" si="1"/>
        <v/>
      </c>
      <c r="Y20" s="34"/>
      <c r="Z20" s="34"/>
      <c r="AA20" s="34"/>
      <c r="AB20" s="34"/>
      <c r="AC20" s="34"/>
      <c r="AD20" s="34" t="str">
        <f t="shared" si="2"/>
        <v/>
      </c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P20" s="15"/>
    </row>
    <row r="21" spans="1:42" x14ac:dyDescent="0.3">
      <c r="A21" s="32"/>
      <c r="B21" s="32"/>
      <c r="C21" s="32"/>
      <c r="D21" s="33" t="str">
        <f t="shared" si="0"/>
        <v/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5"/>
      <c r="V21" s="36"/>
      <c r="W21" s="37"/>
      <c r="X21" s="34" t="str">
        <f t="shared" si="1"/>
        <v/>
      </c>
      <c r="Y21" s="34"/>
      <c r="Z21" s="34"/>
      <c r="AA21" s="34"/>
      <c r="AB21" s="34"/>
      <c r="AC21" s="34"/>
      <c r="AD21" s="34" t="str">
        <f t="shared" si="2"/>
        <v/>
      </c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P21" s="15"/>
    </row>
    <row r="22" spans="1:42" x14ac:dyDescent="0.3">
      <c r="A22" s="32"/>
      <c r="B22" s="32"/>
      <c r="C22" s="32"/>
      <c r="D22" s="33" t="str">
        <f t="shared" si="0"/>
        <v/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5"/>
      <c r="V22" s="36"/>
      <c r="W22" s="37"/>
      <c r="X22" s="34" t="str">
        <f t="shared" si="1"/>
        <v/>
      </c>
      <c r="Y22" s="34"/>
      <c r="Z22" s="34"/>
      <c r="AA22" s="34"/>
      <c r="AB22" s="34"/>
      <c r="AC22" s="34"/>
      <c r="AD22" s="34" t="str">
        <f t="shared" si="2"/>
        <v/>
      </c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P22" s="15"/>
    </row>
    <row r="23" spans="1:42" x14ac:dyDescent="0.3">
      <c r="A23" s="32"/>
      <c r="B23" s="32"/>
      <c r="C23" s="32"/>
      <c r="D23" s="33" t="str">
        <f t="shared" si="0"/>
        <v/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5"/>
      <c r="V23" s="36"/>
      <c r="W23" s="37"/>
      <c r="X23" s="34" t="str">
        <f t="shared" si="1"/>
        <v/>
      </c>
      <c r="Y23" s="34"/>
      <c r="Z23" s="34"/>
      <c r="AA23" s="34"/>
      <c r="AB23" s="34"/>
      <c r="AC23" s="34"/>
      <c r="AD23" s="34" t="str">
        <f t="shared" si="2"/>
        <v/>
      </c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P23" s="15"/>
    </row>
    <row r="24" spans="1:42" x14ac:dyDescent="0.3">
      <c r="A24" s="32"/>
      <c r="B24" s="32"/>
      <c r="C24" s="32"/>
      <c r="D24" s="33" t="str">
        <f t="shared" si="0"/>
        <v/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5"/>
      <c r="V24" s="36"/>
      <c r="W24" s="37"/>
      <c r="X24" s="34" t="str">
        <f t="shared" si="1"/>
        <v/>
      </c>
      <c r="Y24" s="34"/>
      <c r="Z24" s="34"/>
      <c r="AA24" s="34"/>
      <c r="AB24" s="34"/>
      <c r="AC24" s="34"/>
      <c r="AD24" s="34" t="str">
        <f t="shared" si="2"/>
        <v/>
      </c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P24" s="15"/>
    </row>
    <row r="25" spans="1:42" x14ac:dyDescent="0.3">
      <c r="A25" s="32"/>
      <c r="B25" s="32"/>
      <c r="C25" s="32"/>
      <c r="D25" s="33" t="str">
        <f t="shared" si="0"/>
        <v/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5"/>
      <c r="V25" s="36"/>
      <c r="W25" s="37"/>
      <c r="X25" s="34" t="str">
        <f t="shared" si="1"/>
        <v/>
      </c>
      <c r="Y25" s="34"/>
      <c r="Z25" s="34"/>
      <c r="AA25" s="34"/>
      <c r="AB25" s="34"/>
      <c r="AC25" s="34"/>
      <c r="AD25" s="34" t="str">
        <f t="shared" si="2"/>
        <v/>
      </c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P25" s="15"/>
    </row>
    <row r="26" spans="1:42" x14ac:dyDescent="0.3">
      <c r="A26" s="32"/>
      <c r="B26" s="32"/>
      <c r="C26" s="32"/>
      <c r="D26" s="33" t="str">
        <f t="shared" si="0"/>
        <v/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5"/>
      <c r="V26" s="36"/>
      <c r="W26" s="37"/>
      <c r="X26" s="34" t="str">
        <f>IF(A26="","",(VLOOKUP(A26,LISTA,4,FALSE)*VLOOKUP($A26,LISTA,3,FALSE)*U26))</f>
        <v/>
      </c>
      <c r="Y26" s="34"/>
      <c r="Z26" s="34"/>
      <c r="AA26" s="34"/>
      <c r="AB26" s="34"/>
      <c r="AC26" s="34"/>
      <c r="AD26" s="34" t="str">
        <f t="shared" si="2"/>
        <v/>
      </c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P26" s="15"/>
    </row>
    <row r="27" spans="1:42" x14ac:dyDescent="0.3">
      <c r="A27" s="32"/>
      <c r="B27" s="32"/>
      <c r="C27" s="32"/>
      <c r="D27" s="33" t="str">
        <f t="shared" si="0"/>
        <v/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5"/>
      <c r="V27" s="36"/>
      <c r="W27" s="37"/>
      <c r="X27" s="34" t="str">
        <f t="shared" si="1"/>
        <v/>
      </c>
      <c r="Y27" s="34"/>
      <c r="Z27" s="34"/>
      <c r="AA27" s="34"/>
      <c r="AB27" s="34"/>
      <c r="AC27" s="34"/>
      <c r="AD27" s="34" t="str">
        <f t="shared" si="2"/>
        <v/>
      </c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P27" s="15"/>
    </row>
    <row r="28" spans="1:42" ht="20.25" customHeight="1" x14ac:dyDescent="0.3">
      <c r="A28" s="38" t="s">
        <v>21</v>
      </c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9">
        <f>SUM(AD15:AN27)- SUM(X15:AC27)</f>
        <v>0</v>
      </c>
      <c r="AE28" s="39"/>
      <c r="AF28" s="39"/>
      <c r="AG28" s="39"/>
      <c r="AH28" s="39"/>
      <c r="AI28" s="39"/>
      <c r="AJ28" s="39"/>
      <c r="AK28" s="39"/>
      <c r="AL28" s="39"/>
      <c r="AM28" s="39"/>
      <c r="AN28" s="39"/>
    </row>
    <row r="29" spans="1:42" ht="18" customHeight="1" x14ac:dyDescent="0.3">
      <c r="A29" s="38" t="s">
        <v>22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9">
        <f>SUM(X15:AC27)</f>
        <v>0</v>
      </c>
      <c r="AE29" s="39"/>
      <c r="AF29" s="39"/>
      <c r="AG29" s="39"/>
      <c r="AH29" s="39"/>
      <c r="AI29" s="39"/>
      <c r="AJ29" s="39"/>
      <c r="AK29" s="39"/>
      <c r="AL29" s="39"/>
      <c r="AM29" s="39"/>
      <c r="AN29" s="39"/>
    </row>
    <row r="30" spans="1:42" ht="21" customHeight="1" x14ac:dyDescent="0.3">
      <c r="A30" s="38" t="s">
        <v>23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40">
        <f>SUM(AD28:AN29)</f>
        <v>0</v>
      </c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2" ht="18" customHeight="1" x14ac:dyDescent="0.3">
      <c r="A31" s="38" t="s">
        <v>65</v>
      </c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9">
        <f>IF(AD28&lt;1000000,+AD28-AD30*2%,IF(AD28&lt;5000000,+AD28-AD30*5%,IF(AD28&lt;10000000,+AD28-AD30*10%,IF(AD28&lt;30000000,+AD28-AD30*15%,IF(AD28&gt;30000000,+AD28-AD30*20%)))))</f>
        <v>0</v>
      </c>
      <c r="AE31" s="39"/>
      <c r="AF31" s="39"/>
      <c r="AG31" s="39"/>
      <c r="AH31" s="39"/>
      <c r="AI31" s="39"/>
      <c r="AJ31" s="39"/>
      <c r="AK31" s="39"/>
      <c r="AL31" s="39"/>
      <c r="AM31" s="39"/>
      <c r="AN31" s="39"/>
    </row>
    <row r="34" spans="2:5" x14ac:dyDescent="0.3">
      <c r="B34" s="23"/>
      <c r="C34" s="23"/>
      <c r="D34" s="23"/>
      <c r="E34" s="23"/>
    </row>
    <row r="35" spans="2:5" x14ac:dyDescent="0.3">
      <c r="B35" s="23"/>
      <c r="C35" s="23"/>
      <c r="D35" s="23"/>
      <c r="E35" s="23"/>
    </row>
  </sheetData>
  <dataConsolidate function="max"/>
  <mergeCells count="94"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  <mergeCell ref="AD22:AN22"/>
    <mergeCell ref="AD23:AN23"/>
    <mergeCell ref="AD24:AN24"/>
    <mergeCell ref="AD25:AN25"/>
    <mergeCell ref="X23:AC23"/>
    <mergeCell ref="X24:AC24"/>
    <mergeCell ref="X25:AC25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D14:T14"/>
    <mergeCell ref="D20:T20"/>
    <mergeCell ref="D15:T15"/>
    <mergeCell ref="D16:T16"/>
    <mergeCell ref="D17:T17"/>
    <mergeCell ref="D18:T18"/>
    <mergeCell ref="D19:T19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</mergeCells>
  <phoneticPr fontId="3" type="noConversion"/>
  <dataValidations count="2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</dataValidations>
  <pageMargins left="0.70866141732283472" right="0.70866141732283472" top="0.78740157480314965" bottom="0.74803149606299213" header="0.31496062992125984" footer="0.31496062992125984"/>
  <pageSetup scale="8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A1:AH28"/>
  <sheetViews>
    <sheetView tabSelected="1" zoomScaleNormal="100" workbookViewId="0">
      <selection activeCell="J13" sqref="J13"/>
    </sheetView>
  </sheetViews>
  <sheetFormatPr baseColWidth="10" defaultColWidth="3" defaultRowHeight="14.4" x14ac:dyDescent="0.3"/>
  <cols>
    <col min="22" max="34" width="6.44140625" bestFit="1" customWidth="1"/>
  </cols>
  <sheetData>
    <row r="1" spans="1:34" x14ac:dyDescent="0.3">
      <c r="E1" s="43" t="s">
        <v>69</v>
      </c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5"/>
    </row>
    <row r="2" spans="1:34" x14ac:dyDescent="0.3">
      <c r="E2" s="24" t="s">
        <v>68</v>
      </c>
      <c r="F2" s="24"/>
      <c r="G2" s="24"/>
      <c r="H2" s="24" t="s">
        <v>24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66</v>
      </c>
      <c r="T2" s="24"/>
      <c r="U2" s="24"/>
      <c r="V2" s="16" t="s">
        <v>70</v>
      </c>
      <c r="W2" s="16" t="s">
        <v>71</v>
      </c>
      <c r="X2" s="16" t="s">
        <v>72</v>
      </c>
      <c r="Y2" s="16" t="s">
        <v>73</v>
      </c>
      <c r="Z2" s="16" t="s">
        <v>74</v>
      </c>
      <c r="AA2" s="16" t="s">
        <v>75</v>
      </c>
      <c r="AB2" s="16" t="s">
        <v>76</v>
      </c>
      <c r="AC2" s="16" t="s">
        <v>77</v>
      </c>
      <c r="AD2" s="16" t="s">
        <v>78</v>
      </c>
      <c r="AE2" s="16" t="s">
        <v>79</v>
      </c>
      <c r="AF2" s="16" t="s">
        <v>80</v>
      </c>
      <c r="AG2" s="16" t="s">
        <v>81</v>
      </c>
      <c r="AH2" s="16" t="s">
        <v>82</v>
      </c>
    </row>
    <row r="3" spans="1:34" x14ac:dyDescent="0.3">
      <c r="E3" s="41">
        <v>3</v>
      </c>
      <c r="F3" s="41"/>
      <c r="G3" s="41"/>
      <c r="H3" s="24" t="s">
        <v>34</v>
      </c>
      <c r="I3" s="24"/>
      <c r="J3" s="24"/>
      <c r="K3" s="24"/>
      <c r="L3" s="24"/>
      <c r="M3" s="24"/>
      <c r="N3" s="24"/>
      <c r="O3" s="24"/>
      <c r="P3" s="24"/>
      <c r="Q3" s="24"/>
      <c r="R3" s="24"/>
      <c r="S3" s="42">
        <v>44780</v>
      </c>
      <c r="T3" s="42"/>
      <c r="U3" s="42"/>
      <c r="V3" s="19"/>
      <c r="W3" s="19"/>
      <c r="X3" s="19" t="s">
        <v>13</v>
      </c>
      <c r="Y3" s="19"/>
      <c r="Z3" s="19"/>
      <c r="AA3" s="19"/>
      <c r="AB3" s="19"/>
      <c r="AC3" s="19"/>
      <c r="AD3" s="19"/>
      <c r="AE3" s="19"/>
      <c r="AF3" s="19"/>
      <c r="AG3" s="19"/>
      <c r="AH3" s="19"/>
    </row>
    <row r="4" spans="1:34" x14ac:dyDescent="0.3">
      <c r="E4" s="41">
        <v>3</v>
      </c>
      <c r="F4" s="41"/>
      <c r="G4" s="41"/>
      <c r="H4" s="24" t="s">
        <v>34</v>
      </c>
      <c r="I4" s="24"/>
      <c r="J4" s="24"/>
      <c r="K4" s="24"/>
      <c r="L4" s="24"/>
      <c r="M4" s="24"/>
      <c r="N4" s="24"/>
      <c r="O4" s="24"/>
      <c r="P4" s="24"/>
      <c r="Q4" s="24"/>
      <c r="R4" s="24"/>
      <c r="S4" s="42">
        <v>44780</v>
      </c>
      <c r="T4" s="42"/>
      <c r="U4" s="42"/>
      <c r="V4" s="19" t="s">
        <v>15</v>
      </c>
      <c r="W4" s="19"/>
      <c r="X4" s="19"/>
      <c r="Y4" s="19"/>
      <c r="Z4" s="19"/>
      <c r="AA4" s="19"/>
      <c r="AB4" s="19"/>
      <c r="AC4" s="19"/>
      <c r="AD4" s="19" t="s">
        <v>17</v>
      </c>
      <c r="AE4" s="19"/>
      <c r="AF4" s="19"/>
      <c r="AG4" s="19"/>
      <c r="AH4" s="19"/>
    </row>
    <row r="5" spans="1:34" x14ac:dyDescent="0.3">
      <c r="E5" s="41">
        <v>2</v>
      </c>
      <c r="F5" s="41"/>
      <c r="G5" s="41"/>
      <c r="H5" s="24" t="s">
        <v>37</v>
      </c>
      <c r="I5" s="24"/>
      <c r="J5" s="24"/>
      <c r="K5" s="24"/>
      <c r="L5" s="24"/>
      <c r="M5" s="24"/>
      <c r="N5" s="24"/>
      <c r="O5" s="24"/>
      <c r="P5" s="24"/>
      <c r="Q5" s="24"/>
      <c r="R5" s="24"/>
      <c r="S5" s="42">
        <v>44780</v>
      </c>
      <c r="T5" s="42"/>
      <c r="U5" s="42"/>
      <c r="V5" s="19" t="s">
        <v>15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</row>
    <row r="6" spans="1:34" x14ac:dyDescent="0.3">
      <c r="E6" s="41">
        <v>1</v>
      </c>
      <c r="F6" s="41"/>
      <c r="G6" s="41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42"/>
      <c r="T6" s="42"/>
      <c r="U6" s="42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15" spans="1:34" x14ac:dyDescent="0.3">
      <c r="A15" s="17"/>
      <c r="B15" s="17"/>
      <c r="C15" s="17"/>
    </row>
    <row r="16" spans="1:34" x14ac:dyDescent="0.3">
      <c r="A16" s="17"/>
      <c r="B16" s="17"/>
      <c r="C16" s="17"/>
    </row>
    <row r="17" spans="1:3" x14ac:dyDescent="0.3">
      <c r="A17" s="17"/>
      <c r="B17" s="17"/>
      <c r="C17" s="17"/>
    </row>
    <row r="18" spans="1:3" x14ac:dyDescent="0.3">
      <c r="A18" s="17"/>
      <c r="B18" s="17"/>
      <c r="C18" s="17"/>
    </row>
    <row r="19" spans="1:3" x14ac:dyDescent="0.3">
      <c r="A19" s="17"/>
      <c r="B19" s="17"/>
      <c r="C19" s="17"/>
    </row>
    <row r="20" spans="1:3" x14ac:dyDescent="0.3">
      <c r="A20" s="17"/>
      <c r="B20" s="17"/>
      <c r="C20" s="17"/>
    </row>
    <row r="21" spans="1:3" x14ac:dyDescent="0.3">
      <c r="A21" s="17"/>
      <c r="B21" s="17"/>
      <c r="C21" s="17"/>
    </row>
    <row r="22" spans="1:3" x14ac:dyDescent="0.3">
      <c r="A22" s="17"/>
      <c r="B22" s="17"/>
      <c r="C22" s="17"/>
    </row>
    <row r="23" spans="1:3" x14ac:dyDescent="0.3">
      <c r="A23" s="17"/>
      <c r="B23" s="17"/>
      <c r="C23" s="17"/>
    </row>
    <row r="24" spans="1:3" x14ac:dyDescent="0.3">
      <c r="A24" s="17"/>
      <c r="B24" s="17"/>
      <c r="C24" s="17"/>
    </row>
    <row r="25" spans="1:3" x14ac:dyDescent="0.3">
      <c r="A25" s="17"/>
      <c r="B25" s="17"/>
      <c r="C25" s="17"/>
    </row>
    <row r="26" spans="1:3" x14ac:dyDescent="0.3">
      <c r="A26" s="17"/>
      <c r="B26" s="17"/>
      <c r="C26" s="17"/>
    </row>
    <row r="27" spans="1:3" x14ac:dyDescent="0.3">
      <c r="A27" s="17"/>
      <c r="B27" s="17"/>
      <c r="C27" s="17"/>
    </row>
    <row r="28" spans="1:3" x14ac:dyDescent="0.3">
      <c r="A28" s="17"/>
      <c r="B28" s="17"/>
      <c r="C28" s="17"/>
    </row>
  </sheetData>
  <mergeCells count="16">
    <mergeCell ref="E1:AH1"/>
    <mergeCell ref="H2:R2"/>
    <mergeCell ref="E5:G5"/>
    <mergeCell ref="H5:R5"/>
    <mergeCell ref="S5:U5"/>
    <mergeCell ref="E4:G4"/>
    <mergeCell ref="H4:R4"/>
    <mergeCell ref="S4:U4"/>
    <mergeCell ref="E3:G3"/>
    <mergeCell ref="H3:R3"/>
    <mergeCell ref="S3:U3"/>
    <mergeCell ref="E6:G6"/>
    <mergeCell ref="H6:R6"/>
    <mergeCell ref="S6:U6"/>
    <mergeCell ref="E2:G2"/>
    <mergeCell ref="S2:U2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1D55-DB74-40D6-8CF7-21D5FD7E9D09}">
  <sheetPr codeName="Hoja4"/>
  <dimension ref="A1:C1"/>
  <sheetViews>
    <sheetView workbookViewId="0">
      <selection sqref="A1:C1"/>
    </sheetView>
  </sheetViews>
  <sheetFormatPr baseColWidth="10" defaultRowHeight="14.4" x14ac:dyDescent="0.3"/>
  <sheetData>
    <row r="1" spans="1:3" x14ac:dyDescent="0.3">
      <c r="A1" s="46" t="e">
        <f>SUM(#REF!,1)</f>
        <v>#REF!</v>
      </c>
      <c r="B1" s="46"/>
      <c r="C1" s="46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F23" sqref="F23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3.5546875" bestFit="1" customWidth="1"/>
    <col min="5" max="5" width="17.33203125" bestFit="1" customWidth="1"/>
  </cols>
  <sheetData>
    <row r="4" spans="2:5" x14ac:dyDescent="0.3">
      <c r="B4" s="4" t="s">
        <v>24</v>
      </c>
      <c r="C4" s="4" t="s">
        <v>25</v>
      </c>
      <c r="D4" s="4" t="s">
        <v>26</v>
      </c>
      <c r="E4" s="4" t="s">
        <v>27</v>
      </c>
    </row>
    <row r="5" spans="2:5" x14ac:dyDescent="0.3">
      <c r="B5" s="4" t="s">
        <v>28</v>
      </c>
      <c r="C5" s="10">
        <v>1025461380</v>
      </c>
      <c r="D5" s="4" t="s">
        <v>29</v>
      </c>
      <c r="E5" s="4" t="s">
        <v>30</v>
      </c>
    </row>
    <row r="6" spans="2:5" x14ac:dyDescent="0.3">
      <c r="B6" s="4" t="s">
        <v>31</v>
      </c>
      <c r="C6" s="10">
        <v>1098926370</v>
      </c>
      <c r="D6" s="4" t="s">
        <v>32</v>
      </c>
      <c r="E6" s="4" t="s">
        <v>33</v>
      </c>
    </row>
    <row r="7" spans="2:5" x14ac:dyDescent="0.3">
      <c r="B7" s="4" t="s">
        <v>34</v>
      </c>
      <c r="C7" s="10">
        <v>5227080</v>
      </c>
      <c r="D7" s="4" t="s">
        <v>35</v>
      </c>
      <c r="E7" s="4" t="s">
        <v>36</v>
      </c>
    </row>
    <row r="8" spans="2:5" x14ac:dyDescent="0.3">
      <c r="B8" s="4" t="s">
        <v>37</v>
      </c>
      <c r="C8" s="10">
        <v>8935048</v>
      </c>
      <c r="D8" s="4" t="s">
        <v>38</v>
      </c>
      <c r="E8" s="4" t="s">
        <v>39</v>
      </c>
    </row>
    <row r="9" spans="2:5" x14ac:dyDescent="0.3">
      <c r="B9" s="4" t="s">
        <v>40</v>
      </c>
      <c r="C9" s="10">
        <v>10093674</v>
      </c>
      <c r="D9" s="4" t="s">
        <v>41</v>
      </c>
      <c r="E9" s="4" t="s">
        <v>42</v>
      </c>
    </row>
    <row r="10" spans="2:5" x14ac:dyDescent="0.3">
      <c r="B10" s="4" t="s">
        <v>4</v>
      </c>
      <c r="C10" s="10">
        <v>1000554334</v>
      </c>
      <c r="D10" s="4" t="s">
        <v>43</v>
      </c>
      <c r="E10" s="4" t="s">
        <v>44</v>
      </c>
    </row>
  </sheetData>
  <pageMargins left="0.7" right="0.7" top="0.75" bottom="0.75" header="0.3" footer="0.3"/>
  <pageSetup paperSize="9" fitToWidth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4" t="s">
        <v>8</v>
      </c>
      <c r="C4" s="7" t="s">
        <v>45</v>
      </c>
      <c r="D4" s="4" t="s">
        <v>11</v>
      </c>
      <c r="E4" s="7" t="s">
        <v>12</v>
      </c>
    </row>
    <row r="5" spans="2:5" x14ac:dyDescent="0.3">
      <c r="B5" s="4" t="s">
        <v>46</v>
      </c>
      <c r="C5" s="4" t="s">
        <v>47</v>
      </c>
      <c r="D5" s="6">
        <v>0.05</v>
      </c>
      <c r="E5" s="8">
        <v>180000</v>
      </c>
    </row>
    <row r="6" spans="2:5" x14ac:dyDescent="0.3">
      <c r="B6" s="4" t="s">
        <v>17</v>
      </c>
      <c r="C6" s="4" t="s">
        <v>48</v>
      </c>
      <c r="D6" s="6">
        <v>0.08</v>
      </c>
      <c r="E6" s="8">
        <v>470000</v>
      </c>
    </row>
    <row r="7" spans="2:5" x14ac:dyDescent="0.3">
      <c r="B7" s="4" t="s">
        <v>13</v>
      </c>
      <c r="C7" s="4" t="s">
        <v>49</v>
      </c>
      <c r="D7" s="6">
        <v>0.1</v>
      </c>
      <c r="E7" s="8">
        <v>250000</v>
      </c>
    </row>
    <row r="8" spans="2:5" x14ac:dyDescent="0.3">
      <c r="B8" s="4" t="s">
        <v>15</v>
      </c>
      <c r="C8" s="4" t="s">
        <v>50</v>
      </c>
      <c r="D8" s="6">
        <v>0.15</v>
      </c>
      <c r="E8" s="8">
        <v>130000</v>
      </c>
    </row>
    <row r="9" spans="2:5" x14ac:dyDescent="0.3">
      <c r="B9" s="4" t="s">
        <v>18</v>
      </c>
      <c r="C9" s="4" t="s">
        <v>51</v>
      </c>
      <c r="D9" s="6">
        <v>0.04</v>
      </c>
      <c r="E9" s="8">
        <v>240000</v>
      </c>
    </row>
    <row r="10" spans="2:5" x14ac:dyDescent="0.3">
      <c r="B10" s="4" t="s">
        <v>19</v>
      </c>
      <c r="C10" s="4" t="s">
        <v>52</v>
      </c>
      <c r="D10" s="6">
        <v>0.16</v>
      </c>
      <c r="E10" s="8">
        <v>2000000</v>
      </c>
    </row>
    <row r="11" spans="2:5" x14ac:dyDescent="0.3">
      <c r="B11" s="4" t="s">
        <v>53</v>
      </c>
      <c r="C11" s="4" t="s">
        <v>54</v>
      </c>
      <c r="D11" s="6">
        <v>0.02</v>
      </c>
      <c r="E11" s="8">
        <v>2500000</v>
      </c>
    </row>
    <row r="12" spans="2:5" x14ac:dyDescent="0.3">
      <c r="B12" s="4" t="s">
        <v>55</v>
      </c>
      <c r="C12" s="4" t="s">
        <v>56</v>
      </c>
      <c r="D12" s="6">
        <v>0.04</v>
      </c>
      <c r="E12" s="8">
        <v>180007</v>
      </c>
    </row>
    <row r="13" spans="2:5" x14ac:dyDescent="0.3">
      <c r="B13" s="4" t="s">
        <v>57</v>
      </c>
      <c r="C13" s="4" t="s">
        <v>58</v>
      </c>
      <c r="D13" s="6">
        <v>0.08</v>
      </c>
      <c r="E13" s="8">
        <v>400000</v>
      </c>
    </row>
    <row r="14" spans="2:5" x14ac:dyDescent="0.3">
      <c r="B14" s="4" t="s">
        <v>14</v>
      </c>
      <c r="C14" s="4" t="s">
        <v>59</v>
      </c>
      <c r="D14" s="6">
        <v>0.04</v>
      </c>
      <c r="E14" s="8">
        <v>120000</v>
      </c>
    </row>
    <row r="15" spans="2:5" x14ac:dyDescent="0.3">
      <c r="B15" s="4" t="s">
        <v>20</v>
      </c>
      <c r="C15" s="4" t="s">
        <v>60</v>
      </c>
      <c r="D15" s="6">
        <v>0.11</v>
      </c>
      <c r="E15" s="8">
        <v>200000</v>
      </c>
    </row>
    <row r="16" spans="2:5" x14ac:dyDescent="0.3">
      <c r="B16" s="4" t="s">
        <v>61</v>
      </c>
      <c r="C16" s="4" t="s">
        <v>62</v>
      </c>
      <c r="D16" s="6">
        <v>0.12</v>
      </c>
      <c r="E16" s="8">
        <v>500000</v>
      </c>
    </row>
    <row r="17" spans="2:9" x14ac:dyDescent="0.3">
      <c r="B17" s="4" t="s">
        <v>16</v>
      </c>
      <c r="C17" s="4" t="s">
        <v>63</v>
      </c>
      <c r="D17" s="6">
        <v>0.13</v>
      </c>
      <c r="E17" s="8">
        <v>350000</v>
      </c>
    </row>
    <row r="18" spans="2:9" x14ac:dyDescent="0.3">
      <c r="C18" s="5"/>
    </row>
    <row r="22" spans="2:9" x14ac:dyDescent="0.3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7</vt:i4>
      </vt:variant>
    </vt:vector>
  </HeadingPairs>
  <TitlesOfParts>
    <vt:vector size="12" baseType="lpstr">
      <vt:lpstr>BUSQUEDA</vt:lpstr>
      <vt:lpstr>FACTURAS</vt:lpstr>
      <vt:lpstr>MEMORIA</vt:lpstr>
      <vt:lpstr>EMPLEADOS</vt:lpstr>
      <vt:lpstr>PRODUCTOS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2022-08-07T18:32:49Z</dcterms:modified>
  <cp:category/>
  <cp:contentStatus/>
</cp:coreProperties>
</file>
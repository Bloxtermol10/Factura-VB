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13" documentId="13_ncr:1_{C374DD79-F7C2-4689-94F5-64120680C989}" xr6:coauthVersionLast="47" xr6:coauthVersionMax="47" xr10:uidLastSave="{108134E0-577A-4964-8FA4-B5D634246719}"/>
  <bookViews>
    <workbookView xWindow="-108" yWindow="-108" windowWidth="23256" windowHeight="13176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FACTURAS!$E$3:$E$13</definedName>
    <definedName name="_xlnm._FilterDatabase" localSheetId="0" hidden="1">NUEVA!$D$15:$T$27</definedName>
    <definedName name="Cod_Product">FACTURAS!$E$3:$E$13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0" i="10" l="1"/>
  <c r="U16" i="10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A25" i="10"/>
  <c r="D25" i="10" s="1"/>
  <c r="A24" i="10"/>
  <c r="A23" i="10"/>
  <c r="A22" i="10"/>
  <c r="A21" i="10"/>
  <c r="D21" i="10" s="1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6" i="10" l="1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<sst xmlns="http://schemas.openxmlformats.org/spreadsheetml/2006/main" count="155" uniqueCount="99">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</sst>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165" fontId="0" fillId="0" borderId="10" xfId="0" applyNumberFormat="1" applyBorder="1"/>
    <xf numFmtId="0" fontId="0" fillId="0" borderId="13" xfId="0" applyBorder="1" applyAlignment="1">
      <alignment horizontal="center" vertical="center"/>
    </xf>
    <xf numFmtId="166" fontId="0" fillId="3" borderId="14" xfId="0" applyNumberFormat="1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3" totalsRowShown="0" headerRowDxfId="47" dataDxfId="46" tableBorderDxfId="45">
  <autoFilter ref="E2:AG13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U15" sqref="U15:W15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3">
      <c r="A2" s="41"/>
      <c r="B2" s="42"/>
      <c r="C2" s="42"/>
      <c r="D2" s="42"/>
      <c r="E2" s="42"/>
      <c r="AK2" s="44">
        <f ca="1">TODAY()</f>
        <v>44785</v>
      </c>
      <c r="AL2" s="44"/>
      <c r="AM2" s="44"/>
      <c r="AN2" s="9"/>
    </row>
    <row r="3" spans="1:42" x14ac:dyDescent="0.3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3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3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10</v>
      </c>
      <c r="AL5" s="45"/>
      <c r="AM5" s="45"/>
      <c r="AN5" s="3"/>
    </row>
    <row r="6" spans="1:42" x14ac:dyDescent="0.3">
      <c r="A6" s="41"/>
      <c r="B6" s="42"/>
      <c r="C6" s="42"/>
      <c r="D6" s="42"/>
      <c r="E6" s="4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" thickBot="1" x14ac:dyDescent="0.35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" thickBot="1" x14ac:dyDescent="0.35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" thickBot="1" x14ac:dyDescent="0.35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3">
      <c r="A13" s="2"/>
      <c r="AN13" s="3"/>
    </row>
    <row r="14" spans="1:42" x14ac:dyDescent="0.3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3">
      <c r="A15" s="37"/>
      <c r="B15" s="37"/>
      <c r="C15" s="37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29"/>
      <c r="V15" s="30"/>
      <c r="W15" s="31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3">
      <c r="A16" s="37"/>
      <c r="B16" s="37"/>
      <c r="C16" s="37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29"/>
      <c r="V16" s="30"/>
      <c r="W16" s="31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35" t="str">
        <f>IF(A16="","",((VLOOKUP(A16,M_Productos[],4,FALSE) + X16)*U16))</f>
        <v/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1"/>
    </row>
    <row r="17" spans="1:42" x14ac:dyDescent="0.3">
      <c r="A17" s="37"/>
      <c r="B17" s="37"/>
      <c r="C17" s="37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29"/>
      <c r="V17" s="30"/>
      <c r="W17" s="31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35" t="str">
        <f>IF(A17="","",((VLOOKUP(A17,M_Productos[],4,FALSE) + X17)*U17))</f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1"/>
    </row>
    <row r="18" spans="1:42" x14ac:dyDescent="0.3">
      <c r="A18" s="37"/>
      <c r="B18" s="37"/>
      <c r="C18" s="37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29"/>
      <c r="V18" s="30"/>
      <c r="W18" s="31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35" t="str">
        <f>IF(A18="","",((VLOOKUP(A18,M_Productos[],4,FALSE) + X18)*U18))</f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1"/>
    </row>
    <row r="19" spans="1:42" x14ac:dyDescent="0.3">
      <c r="A19" s="37"/>
      <c r="B19" s="37"/>
      <c r="C19" s="37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29"/>
      <c r="V19" s="30"/>
      <c r="W19" s="31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35" t="str">
        <f>IF(A19="","",((VLOOKUP(A19,M_Productos[],4,FALSE) + X19)*U19))</f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1"/>
    </row>
    <row r="20" spans="1:42" x14ac:dyDescent="0.3">
      <c r="A20" s="37"/>
      <c r="B20" s="37"/>
      <c r="C20" s="37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29"/>
      <c r="V20" s="30"/>
      <c r="W20" s="31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35" t="str">
        <f>IF(A20="","",((VLOOKUP(A20,M_Productos[],4,FALSE) + X20)*U20))</f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1"/>
    </row>
    <row r="21" spans="1:42" x14ac:dyDescent="0.3">
      <c r="A21" s="37"/>
      <c r="B21" s="37"/>
      <c r="C21" s="37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29"/>
      <c r="V21" s="30"/>
      <c r="W21" s="31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35" t="str">
        <f>IF(A21="","",((VLOOKUP(A21,M_Productos[],4,FALSE) + X21)*U21))</f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1"/>
    </row>
    <row r="22" spans="1:42" x14ac:dyDescent="0.3">
      <c r="A22" s="37"/>
      <c r="B22" s="37"/>
      <c r="C22" s="37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29"/>
      <c r="V22" s="30"/>
      <c r="W22" s="31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35" t="str">
        <f>IF(A22="","",((VLOOKUP(A22,M_Productos[],4,FALSE) + X22)*U22))</f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1"/>
    </row>
    <row r="23" spans="1:42" x14ac:dyDescent="0.3">
      <c r="A23" s="37"/>
      <c r="B23" s="37"/>
      <c r="C23" s="37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29"/>
      <c r="V23" s="30"/>
      <c r="W23" s="31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35" t="str">
        <f>IF(A23="","",((VLOOKUP(A23,M_Productos[],4,FALSE) + X23)*U23))</f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1"/>
    </row>
    <row r="24" spans="1:42" x14ac:dyDescent="0.3">
      <c r="A24" s="37"/>
      <c r="B24" s="37"/>
      <c r="C24" s="37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29"/>
      <c r="V24" s="30"/>
      <c r="W24" s="31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35" t="str">
        <f>IF(A24="","",((VLOOKUP(A24,M_Productos[],4,FALSE) + X24)*U24))</f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1"/>
    </row>
    <row r="25" spans="1:42" x14ac:dyDescent="0.3">
      <c r="A25" s="37"/>
      <c r="B25" s="37"/>
      <c r="C25" s="37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29"/>
      <c r="V25" s="30"/>
      <c r="W25" s="31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35" t="str">
        <f>IF(A25="","",((VLOOKUP(A25,M_Productos[],4,FALSE) + X25)*U25))</f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1"/>
    </row>
    <row r="26" spans="1:42" x14ac:dyDescent="0.3">
      <c r="A26" s="37"/>
      <c r="B26" s="37"/>
      <c r="C26" s="37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29"/>
      <c r="V26" s="30"/>
      <c r="W26" s="31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35" t="str">
        <f>IF(A26="","",((VLOOKUP(A26,M_Productos[],4,FALSE) + X26)*U26))</f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1"/>
    </row>
    <row r="27" spans="1:42" x14ac:dyDescent="0.3">
      <c r="A27" s="37"/>
      <c r="B27" s="37"/>
      <c r="C27" s="37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9"/>
      <c r="V27" s="30"/>
      <c r="W27" s="31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35" t="str">
        <f>IF(A27="","",((VLOOKUP(A27,M_Productos[],4,FALSE) + X27)*U27))</f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1"/>
    </row>
    <row r="28" spans="1:42" ht="20.25" customHeight="1" x14ac:dyDescent="0.3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3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3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3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3">
      <c r="B34" s="46" t="s">
        <v>98</v>
      </c>
      <c r="C34" s="46"/>
      <c r="D34" s="46"/>
      <c r="E34" s="46"/>
    </row>
    <row r="35" spans="2:5" x14ac:dyDescent="0.3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whole" allowBlank="1" showInputMessage="1" showErrorMessage="1" sqref="U15:W27" xr:uid="{DBDE2934-07A0-4711-AED3-6F05C53B91A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="85" zoomScaleNormal="85" workbookViewId="0">
      <selection activeCell="U15" sqref="U15:W15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3">
      <c r="A2" s="41"/>
      <c r="B2" s="42"/>
      <c r="C2" s="42"/>
      <c r="D2" s="42"/>
      <c r="E2" s="42"/>
      <c r="AK2" s="44">
        <f ca="1">TODAY()</f>
        <v>44785</v>
      </c>
      <c r="AL2" s="44"/>
      <c r="AM2" s="44"/>
      <c r="AN2" s="9"/>
    </row>
    <row r="3" spans="1:42" x14ac:dyDescent="0.3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3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3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/>
      <c r="AL5" s="45"/>
      <c r="AM5" s="45"/>
      <c r="AN5" s="3"/>
    </row>
    <row r="6" spans="1:42" x14ac:dyDescent="0.3">
      <c r="A6" s="41"/>
      <c r="B6" s="42"/>
      <c r="C6" s="42"/>
      <c r="D6" s="42"/>
      <c r="E6" s="4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8" t="s">
        <v>5</v>
      </c>
      <c r="G9" s="48"/>
      <c r="H9" s="48"/>
      <c r="I9" s="48"/>
      <c r="J9" s="48"/>
      <c r="K9" s="48"/>
      <c r="P9" s="49" t="str">
        <f>IF(VLOOKUP($AK$5,m_facturas[],2,FALSE)="","",VLOOKUP($AK$5,m_facturas[],2,FALSE))</f>
        <v/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" thickBot="1" x14ac:dyDescent="0.35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2" ht="15" thickBot="1" x14ac:dyDescent="0.35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" thickBot="1" x14ac:dyDescent="0.35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3">
      <c r="A13" s="2"/>
      <c r="AN13" s="3"/>
    </row>
    <row r="14" spans="1:42" x14ac:dyDescent="0.3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3">
      <c r="A15" s="50" t="str">
        <f>IF(VLOOKUP($AK$5,m_facturas[],4,FALSE)="","",VLOOKUP($AK$5,m_facturas[],4,FALSE))</f>
        <v/>
      </c>
      <c r="B15" s="51"/>
      <c r="C15" s="52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50">
        <f>IF(VLOOKUP($AK$5,m_facturas[],19,FALSE)="","",VLOOKUP($AK$5,m_facturas[],18,FALSE))</f>
        <v>1</v>
      </c>
      <c r="V15" s="51"/>
      <c r="W15" s="52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3">
      <c r="A16" s="50" t="str">
        <f>IF(VLOOKUP($AK$5,m_facturas[],5,FALSE)="","",VLOOKUP($AK$5,m_facturas[],5,FALSE))</f>
        <v/>
      </c>
      <c r="B16" s="51"/>
      <c r="C16" s="52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50">
        <f>IF(VLOOKUP($AK$5,m_facturas[],18,FALSE)="","",VLOOKUP($AK$5,m_facturas[],18,FALSE))</f>
        <v>1</v>
      </c>
      <c r="V16" s="51"/>
      <c r="W16" s="52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3">
      <c r="A17" s="50" t="str">
        <f>IF(VLOOKUP($AK$5,m_facturas[],6,FALSE)="","",VLOOKUP($AK$5,m_facturas[],6,FALSE))</f>
        <v/>
      </c>
      <c r="B17" s="51"/>
      <c r="C17" s="52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50">
        <f>IF(VLOOKUP($AK$5,m_facturas[],19,FALSE)="","",VLOOKUP($AK$5,m_facturas[],19,FALSE))</f>
        <v>1</v>
      </c>
      <c r="V17" s="51"/>
      <c r="W17" s="52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3">
      <c r="A18" s="50" t="str">
        <f>IF(VLOOKUP($AK$5,m_facturas[],7,FALSE)="","",VLOOKUP($AK$5,m_facturas[],7,FALSE))</f>
        <v/>
      </c>
      <c r="B18" s="51"/>
      <c r="C18" s="52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50">
        <f>IF(VLOOKUP($AK$5,m_facturas[],20,FALSE)="","",VLOOKUP($AK$5,m_facturas[],20,FALSE))</f>
        <v>1</v>
      </c>
      <c r="V18" s="51"/>
      <c r="W18" s="52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3">
      <c r="A19" s="50" t="str">
        <f>IF(VLOOKUP($AK$5,m_facturas[],8,FALSE)="","",VLOOKUP($AK$5,m_facturas[],8,FALSE))</f>
        <v/>
      </c>
      <c r="B19" s="51"/>
      <c r="C19" s="52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50">
        <f>IF(VLOOKUP($AK$5,m_facturas[],21,FALSE)="","",VLOOKUP($AK$5,m_facturas[],21,FALSE))</f>
        <v>1</v>
      </c>
      <c r="V19" s="51"/>
      <c r="W19" s="52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3">
      <c r="A20" s="50" t="str">
        <f>IF(VLOOKUP($AK$5,m_facturas[],9,FALSE)="","",VLOOKUP($AK$5,m_facturas[],9,FALSE))</f>
        <v/>
      </c>
      <c r="B20" s="51"/>
      <c r="C20" s="52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50">
        <f>IF(VLOOKUP($AK$5,m_facturas[],22,FALSE)="","",VLOOKUP($AK$5,m_facturas[],22,FALSE))</f>
        <v>1</v>
      </c>
      <c r="V20" s="51"/>
      <c r="W20" s="52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3">
      <c r="A21" s="50" t="str">
        <f>IF(VLOOKUP($AK$5,m_facturas[],10,FALSE)="","",VLOOKUP($AK$5,m_facturas[],10,FALSE))</f>
        <v/>
      </c>
      <c r="B21" s="51"/>
      <c r="C21" s="52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50">
        <f>IF(VLOOKUP($AK$5,m_facturas[],23,FALSE)="","",VLOOKUP($AK$5,m_facturas[],23,FALSE))</f>
        <v>1</v>
      </c>
      <c r="V21" s="51"/>
      <c r="W21" s="52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3">
      <c r="A22" s="50" t="str">
        <f>IF(VLOOKUP($AK$5,m_facturas[],11,FALSE)="","",VLOOKUP($AK$5,m_facturas[],11,FALSE))</f>
        <v/>
      </c>
      <c r="B22" s="51"/>
      <c r="C22" s="52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50">
        <f>IF(VLOOKUP($AK$5,m_facturas[],24,FALSE)="","",VLOOKUP($AK$5,m_facturas[],24,FALSE))</f>
        <v>1</v>
      </c>
      <c r="V22" s="51"/>
      <c r="W22" s="52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3">
      <c r="A23" s="50" t="str">
        <f>IF(VLOOKUP($AK$5,m_facturas[],12,FALSE)="","",VLOOKUP($AK$5,m_facturas[],12,FALSE))</f>
        <v/>
      </c>
      <c r="B23" s="51"/>
      <c r="C23" s="52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50">
        <f>IF(VLOOKUP($AK$5,m_facturas[],25,FALSE)="","",VLOOKUP($AK$5,m_facturas[],25,FALSE))</f>
        <v>1</v>
      </c>
      <c r="V23" s="51"/>
      <c r="W23" s="52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3">
      <c r="A24" s="50" t="str">
        <f>IF(VLOOKUP($AK$5,m_facturas[],13,FALSE)="","",VLOOKUP($AK$5,m_facturas[],13,FALSE))</f>
        <v/>
      </c>
      <c r="B24" s="51"/>
      <c r="C24" s="52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50">
        <f>IF(VLOOKUP($AK$5,m_facturas[],26,FALSE)="","",VLOOKUP($AK$5,m_facturas[],26,FALSE))</f>
        <v>1</v>
      </c>
      <c r="V24" s="51"/>
      <c r="W24" s="52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3">
      <c r="A25" s="50" t="str">
        <f>IF(VLOOKUP($AK$5,m_facturas[],14,FALSE)="","",VLOOKUP($AK$5,m_facturas[],14,FALSE))</f>
        <v/>
      </c>
      <c r="B25" s="51"/>
      <c r="C25" s="52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50">
        <f>IF(VLOOKUP($AK$5,m_facturas[],27,FALSE)="","",VLOOKUP($AK$5,m_facturas[],27,FALSE))</f>
        <v>1</v>
      </c>
      <c r="V25" s="51"/>
      <c r="W25" s="52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3">
      <c r="A26" s="50" t="str">
        <f>IF(VLOOKUP($AK$5,m_facturas[],15,FALSE)="","",VLOOKUP($AK$5,m_facturas[],15,FALSE))</f>
        <v/>
      </c>
      <c r="B26" s="51"/>
      <c r="C26" s="52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50">
        <f>IF(VLOOKUP($AK$5,m_facturas[],28,FALSE)="","",VLOOKUP($AK$5,m_facturas[],28,FALSE))</f>
        <v>1</v>
      </c>
      <c r="V26" s="51"/>
      <c r="W26" s="52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3">
      <c r="A27" s="50" t="str">
        <f>IF(VLOOKUP($AK$5,m_facturas[],16,FALSE)="","",VLOOKUP($AK$5,m_facturas[],16,FALSE))</f>
        <v/>
      </c>
      <c r="B27" s="51"/>
      <c r="C27" s="52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50">
        <f>IF(VLOOKUP($AK$5,m_facturas[],29,FALSE)="","",VLOOKUP($AK$5,m_facturas[],29,FALSE))</f>
        <v>1</v>
      </c>
      <c r="V27" s="51"/>
      <c r="W27" s="52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3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3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3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3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3">
      <c r="B34" s="46"/>
      <c r="C34" s="46"/>
      <c r="D34" s="46"/>
      <c r="E34" s="46"/>
    </row>
    <row r="35" spans="2:5" x14ac:dyDescent="0.3">
      <c r="B35" s="46"/>
      <c r="C35" s="46"/>
      <c r="D35" s="46"/>
      <c r="E35" s="46"/>
    </row>
  </sheetData>
  <sheetProtection sheet="1" objects="1" scenario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whole" allowBlank="1" showInputMessage="1" showErrorMessage="1" sqref="U19:W19" xr:uid="{3FFBCD87-A4D9-42F7-AF98-CDCBBAE9FAB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3"/>
  <sheetViews>
    <sheetView topLeftCell="D1" zoomScaleNormal="100" workbookViewId="0">
      <selection activeCell="AD20" sqref="AD20"/>
    </sheetView>
  </sheetViews>
  <sheetFormatPr baseColWidth="10" defaultColWidth="3" defaultRowHeight="14.4" x14ac:dyDescent="0.3"/>
  <cols>
    <col min="5" max="5" width="8.88671875" bestFit="1" customWidth="1"/>
    <col min="6" max="6" width="16.109375" bestFit="1" customWidth="1"/>
    <col min="7" max="7" width="8.33203125" bestFit="1" customWidth="1"/>
    <col min="8" max="33" width="6.44140625" bestFit="1" customWidth="1"/>
    <col min="34" max="45" width="6.44140625" customWidth="1"/>
  </cols>
  <sheetData>
    <row r="1" spans="5:33" x14ac:dyDescent="0.3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3">
      <c r="E2" s="17" t="s">
        <v>19</v>
      </c>
      <c r="F2" s="13" t="s">
        <v>20</v>
      </c>
      <c r="G2" s="13" t="s">
        <v>21</v>
      </c>
      <c r="H2" s="18" t="s">
        <v>22</v>
      </c>
      <c r="I2" s="18" t="s">
        <v>23</v>
      </c>
      <c r="J2" s="18" t="s">
        <v>24</v>
      </c>
      <c r="K2" s="18" t="s">
        <v>25</v>
      </c>
      <c r="L2" s="18" t="s">
        <v>26</v>
      </c>
      <c r="M2" s="18" t="s">
        <v>27</v>
      </c>
      <c r="N2" s="18" t="s">
        <v>28</v>
      </c>
      <c r="O2" s="18" t="s">
        <v>29</v>
      </c>
      <c r="P2" s="18" t="s">
        <v>30</v>
      </c>
      <c r="Q2" s="18" t="s">
        <v>31</v>
      </c>
      <c r="R2" s="18" t="s">
        <v>32</v>
      </c>
      <c r="S2" s="18" t="s">
        <v>33</v>
      </c>
      <c r="T2" s="18" t="s">
        <v>34</v>
      </c>
      <c r="U2" s="18" t="s">
        <v>35</v>
      </c>
      <c r="V2" s="18" t="s">
        <v>36</v>
      </c>
      <c r="W2" s="18" t="s">
        <v>37</v>
      </c>
      <c r="X2" s="18" t="s">
        <v>38</v>
      </c>
      <c r="Y2" s="18" t="s">
        <v>39</v>
      </c>
      <c r="Z2" s="18" t="s">
        <v>40</v>
      </c>
      <c r="AA2" s="18" t="s">
        <v>41</v>
      </c>
      <c r="AB2" s="18" t="s">
        <v>42</v>
      </c>
      <c r="AC2" s="18" t="s">
        <v>43</v>
      </c>
      <c r="AD2" s="18" t="s">
        <v>44</v>
      </c>
      <c r="AE2" s="18" t="s">
        <v>45</v>
      </c>
      <c r="AF2" s="18" t="s">
        <v>46</v>
      </c>
      <c r="AG2" s="18" t="s">
        <v>47</v>
      </c>
    </row>
    <row r="3" spans="5:33" x14ac:dyDescent="0.3">
      <c r="E3" s="16">
        <v>10</v>
      </c>
      <c r="F3" s="12" t="s">
        <v>48</v>
      </c>
      <c r="G3" s="14">
        <v>44785</v>
      </c>
      <c r="H3" s="15" t="s">
        <v>52</v>
      </c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>
        <v>1</v>
      </c>
      <c r="V3" s="15">
        <v>1</v>
      </c>
      <c r="W3" s="15">
        <v>1</v>
      </c>
      <c r="X3" s="15">
        <v>1</v>
      </c>
      <c r="Y3" s="15">
        <v>1</v>
      </c>
      <c r="Z3" s="15">
        <v>1</v>
      </c>
      <c r="AA3" s="15">
        <v>1</v>
      </c>
      <c r="AB3" s="15">
        <v>1</v>
      </c>
      <c r="AC3" s="15">
        <v>1</v>
      </c>
      <c r="AD3" s="15">
        <v>1</v>
      </c>
      <c r="AE3" s="15">
        <v>1</v>
      </c>
      <c r="AF3" s="15">
        <v>1</v>
      </c>
      <c r="AG3" s="15">
        <v>1</v>
      </c>
    </row>
    <row r="4" spans="5:33" x14ac:dyDescent="0.3">
      <c r="E4" s="16">
        <v>9</v>
      </c>
      <c r="F4" s="12" t="s">
        <v>50</v>
      </c>
      <c r="G4" s="14">
        <v>44785</v>
      </c>
      <c r="H4" s="15" t="s">
        <v>53</v>
      </c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>
        <v>1</v>
      </c>
      <c r="V4" s="15">
        <v>1</v>
      </c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15">
        <v>1</v>
      </c>
    </row>
    <row r="5" spans="5:33" x14ac:dyDescent="0.3">
      <c r="E5" s="16">
        <v>8</v>
      </c>
      <c r="F5" s="12" t="s">
        <v>50</v>
      </c>
      <c r="G5" s="14">
        <v>44785</v>
      </c>
      <c r="H5" s="15" t="s">
        <v>85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>
        <v>1</v>
      </c>
      <c r="V5" s="15">
        <v>1</v>
      </c>
      <c r="W5" s="15">
        <v>1</v>
      </c>
      <c r="X5" s="15">
        <v>1</v>
      </c>
      <c r="Y5" s="15">
        <v>1</v>
      </c>
      <c r="Z5" s="15">
        <v>1</v>
      </c>
      <c r="AA5" s="15">
        <v>1</v>
      </c>
      <c r="AB5" s="15">
        <v>1</v>
      </c>
      <c r="AC5" s="15">
        <v>1</v>
      </c>
      <c r="AD5" s="15">
        <v>1</v>
      </c>
      <c r="AE5" s="15">
        <v>1</v>
      </c>
      <c r="AF5" s="15">
        <v>1</v>
      </c>
      <c r="AG5" s="15">
        <v>1</v>
      </c>
    </row>
    <row r="6" spans="5:33" x14ac:dyDescent="0.3">
      <c r="E6" s="16">
        <v>7</v>
      </c>
      <c r="F6" s="12" t="s">
        <v>48</v>
      </c>
      <c r="G6" s="14">
        <v>44785</v>
      </c>
      <c r="H6" s="15" t="s">
        <v>49</v>
      </c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>
        <v>1</v>
      </c>
      <c r="V6" s="15">
        <v>1</v>
      </c>
      <c r="W6" s="15">
        <v>1</v>
      </c>
      <c r="X6" s="15">
        <v>1</v>
      </c>
      <c r="Y6" s="15">
        <v>1</v>
      </c>
      <c r="Z6" s="15">
        <v>1</v>
      </c>
      <c r="AA6" s="15">
        <v>1</v>
      </c>
      <c r="AB6" s="15">
        <v>1</v>
      </c>
      <c r="AC6" s="15">
        <v>1</v>
      </c>
      <c r="AD6" s="15">
        <v>1</v>
      </c>
      <c r="AE6" s="15">
        <v>1</v>
      </c>
      <c r="AF6" s="15">
        <v>1</v>
      </c>
      <c r="AG6" s="15">
        <v>1</v>
      </c>
    </row>
    <row r="7" spans="5:33" x14ac:dyDescent="0.3">
      <c r="E7" s="16">
        <v>6</v>
      </c>
      <c r="F7" s="12" t="s">
        <v>69</v>
      </c>
      <c r="G7" s="14">
        <v>44785</v>
      </c>
      <c r="H7" s="15" t="s">
        <v>51</v>
      </c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>
        <v>1</v>
      </c>
      <c r="V7" s="15">
        <v>1</v>
      </c>
      <c r="W7" s="15">
        <v>1</v>
      </c>
      <c r="X7" s="15">
        <v>1</v>
      </c>
      <c r="Y7" s="15">
        <v>1</v>
      </c>
      <c r="Z7" s="15">
        <v>1</v>
      </c>
      <c r="AA7" s="15">
        <v>1</v>
      </c>
      <c r="AB7" s="15">
        <v>1</v>
      </c>
      <c r="AC7" s="15">
        <v>1</v>
      </c>
      <c r="AD7" s="15">
        <v>1</v>
      </c>
      <c r="AE7" s="15">
        <v>1</v>
      </c>
      <c r="AF7" s="15">
        <v>1</v>
      </c>
      <c r="AG7" s="15">
        <v>1</v>
      </c>
    </row>
    <row r="8" spans="5:33" x14ac:dyDescent="0.3">
      <c r="E8" s="16">
        <v>5</v>
      </c>
      <c r="F8" s="12" t="s">
        <v>76</v>
      </c>
      <c r="G8" s="14">
        <v>44785</v>
      </c>
      <c r="H8" s="15"/>
      <c r="I8" s="15"/>
      <c r="J8" s="15"/>
      <c r="K8" s="15"/>
      <c r="L8" s="15" t="s">
        <v>51</v>
      </c>
      <c r="M8" s="15"/>
      <c r="N8" s="15"/>
      <c r="O8" s="15"/>
      <c r="P8" s="15"/>
      <c r="Q8" s="15"/>
      <c r="R8" s="15"/>
      <c r="S8" s="15"/>
      <c r="T8" s="15"/>
      <c r="U8" s="15">
        <v>1</v>
      </c>
      <c r="V8" s="15">
        <v>1</v>
      </c>
      <c r="W8" s="15">
        <v>1</v>
      </c>
      <c r="X8" s="15">
        <v>1</v>
      </c>
      <c r="Y8" s="15">
        <v>1</v>
      </c>
      <c r="Z8" s="15">
        <v>1</v>
      </c>
      <c r="AA8" s="15">
        <v>1</v>
      </c>
      <c r="AB8" s="15">
        <v>1</v>
      </c>
      <c r="AC8" s="15">
        <v>1</v>
      </c>
      <c r="AD8" s="15">
        <v>1</v>
      </c>
      <c r="AE8" s="15">
        <v>1</v>
      </c>
      <c r="AF8" s="15">
        <v>1</v>
      </c>
      <c r="AG8" s="15">
        <v>1</v>
      </c>
    </row>
    <row r="9" spans="5:33" x14ac:dyDescent="0.3">
      <c r="E9" s="16">
        <v>4</v>
      </c>
      <c r="F9" s="12" t="s">
        <v>48</v>
      </c>
      <c r="G9" s="14">
        <v>44785</v>
      </c>
      <c r="H9" s="15"/>
      <c r="I9" s="15"/>
      <c r="J9" s="15"/>
      <c r="K9" s="15"/>
      <c r="L9" s="15" t="s">
        <v>85</v>
      </c>
      <c r="M9" s="15"/>
      <c r="N9" s="15"/>
      <c r="O9" s="15"/>
      <c r="P9" s="15"/>
      <c r="Q9" s="15"/>
      <c r="R9" s="15"/>
      <c r="S9" s="15"/>
      <c r="T9" s="15"/>
      <c r="U9" s="15">
        <v>1</v>
      </c>
      <c r="V9" s="15">
        <v>1</v>
      </c>
      <c r="W9" s="15">
        <v>1</v>
      </c>
      <c r="X9" s="15">
        <v>1</v>
      </c>
      <c r="Y9" s="15">
        <v>1</v>
      </c>
      <c r="Z9" s="15">
        <v>1</v>
      </c>
      <c r="AA9" s="15">
        <v>1</v>
      </c>
      <c r="AB9" s="15">
        <v>1</v>
      </c>
      <c r="AC9" s="15">
        <v>1</v>
      </c>
      <c r="AD9" s="15">
        <v>1</v>
      </c>
      <c r="AE9" s="15">
        <v>1</v>
      </c>
      <c r="AF9" s="15">
        <v>1</v>
      </c>
      <c r="AG9" s="15">
        <v>1</v>
      </c>
    </row>
    <row r="10" spans="5:33" x14ac:dyDescent="0.3">
      <c r="E10" s="16">
        <v>3</v>
      </c>
      <c r="F10" s="12" t="s">
        <v>50</v>
      </c>
      <c r="G10" s="14">
        <v>44785</v>
      </c>
      <c r="H10" s="15"/>
      <c r="I10" s="15"/>
      <c r="J10" s="15"/>
      <c r="K10" s="15"/>
      <c r="L10" s="15" t="s">
        <v>85</v>
      </c>
      <c r="M10" s="15"/>
      <c r="N10" s="15"/>
      <c r="O10" s="15"/>
      <c r="P10" s="15"/>
      <c r="Q10" s="15"/>
      <c r="R10" s="15"/>
      <c r="S10" s="15"/>
      <c r="T10" s="15"/>
      <c r="U10" s="15">
        <v>1</v>
      </c>
      <c r="V10" s="15">
        <v>1</v>
      </c>
      <c r="W10" s="15">
        <v>1</v>
      </c>
      <c r="X10" s="15">
        <v>1</v>
      </c>
      <c r="Y10" s="15">
        <v>1</v>
      </c>
      <c r="Z10" s="15">
        <v>1</v>
      </c>
      <c r="AA10" s="15">
        <v>1</v>
      </c>
      <c r="AB10" s="15">
        <v>1</v>
      </c>
      <c r="AC10" s="15">
        <v>1</v>
      </c>
      <c r="AD10" s="15">
        <v>1</v>
      </c>
      <c r="AE10" s="15">
        <v>1</v>
      </c>
      <c r="AF10" s="15">
        <v>1</v>
      </c>
      <c r="AG10" s="15">
        <v>1</v>
      </c>
    </row>
    <row r="11" spans="5:33" x14ac:dyDescent="0.3">
      <c r="E11" s="16">
        <v>2</v>
      </c>
      <c r="F11" s="12" t="s">
        <v>48</v>
      </c>
      <c r="G11" s="14">
        <v>44784</v>
      </c>
      <c r="H11" s="15"/>
      <c r="I11" s="15"/>
      <c r="J11" s="15" t="s">
        <v>49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1</v>
      </c>
      <c r="V11" s="15">
        <v>1</v>
      </c>
      <c r="W11" s="15">
        <v>1</v>
      </c>
      <c r="X11" s="15">
        <v>1</v>
      </c>
      <c r="Y11" s="15">
        <v>1</v>
      </c>
      <c r="Z11" s="15">
        <v>1</v>
      </c>
      <c r="AA11" s="15">
        <v>1</v>
      </c>
      <c r="AB11" s="15">
        <v>1</v>
      </c>
      <c r="AC11" s="15">
        <v>1</v>
      </c>
      <c r="AD11" s="15">
        <v>1</v>
      </c>
      <c r="AE11" s="15">
        <v>1</v>
      </c>
      <c r="AF11" s="15">
        <v>1</v>
      </c>
      <c r="AG11" s="15">
        <v>1</v>
      </c>
    </row>
    <row r="12" spans="5:33" x14ac:dyDescent="0.3">
      <c r="E12" s="16">
        <v>1</v>
      </c>
      <c r="F12" s="12" t="s">
        <v>50</v>
      </c>
      <c r="G12" s="14">
        <v>44783</v>
      </c>
      <c r="H12" s="15"/>
      <c r="I12" s="15" t="s">
        <v>51</v>
      </c>
      <c r="J12" s="15" t="s">
        <v>52</v>
      </c>
      <c r="K12" s="15" t="s">
        <v>53</v>
      </c>
      <c r="L12" s="15" t="s">
        <v>54</v>
      </c>
      <c r="M12" s="15" t="s">
        <v>55</v>
      </c>
      <c r="N12" s="15" t="s">
        <v>56</v>
      </c>
      <c r="O12" s="15" t="s">
        <v>57</v>
      </c>
      <c r="P12" s="15" t="s">
        <v>58</v>
      </c>
      <c r="Q12" s="15" t="s">
        <v>59</v>
      </c>
      <c r="R12" s="15" t="s">
        <v>60</v>
      </c>
      <c r="S12" s="15" t="s">
        <v>61</v>
      </c>
      <c r="T12" s="15" t="s">
        <v>62</v>
      </c>
      <c r="U12" s="15">
        <v>1</v>
      </c>
      <c r="V12" s="15">
        <v>1</v>
      </c>
      <c r="W12" s="15">
        <v>1</v>
      </c>
      <c r="X12" s="15">
        <v>1</v>
      </c>
      <c r="Y12" s="15">
        <v>1</v>
      </c>
      <c r="Z12" s="15">
        <v>1</v>
      </c>
      <c r="AA12" s="15">
        <v>1</v>
      </c>
      <c r="AB12" s="15">
        <v>1</v>
      </c>
      <c r="AC12" s="15">
        <v>1</v>
      </c>
      <c r="AD12" s="15">
        <v>1</v>
      </c>
      <c r="AE12" s="15">
        <v>1</v>
      </c>
      <c r="AF12" s="15">
        <v>1</v>
      </c>
      <c r="AG12" s="15">
        <v>1</v>
      </c>
    </row>
    <row r="13" spans="5:33" x14ac:dyDescent="0.3">
      <c r="E13" s="16">
        <v>0</v>
      </c>
      <c r="F13" s="12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>
        <v>1</v>
      </c>
      <c r="V13" s="15">
        <v>1</v>
      </c>
      <c r="W13" s="15">
        <v>1</v>
      </c>
      <c r="X13" s="15">
        <v>1</v>
      </c>
      <c r="Y13" s="15">
        <v>1</v>
      </c>
      <c r="Z13" s="15">
        <v>1</v>
      </c>
      <c r="AA13" s="15">
        <v>1</v>
      </c>
      <c r="AB13" s="15">
        <v>1</v>
      </c>
      <c r="AC13" s="15">
        <v>1</v>
      </c>
      <c r="AD13" s="15">
        <v>1</v>
      </c>
      <c r="AE13" s="15">
        <v>1</v>
      </c>
      <c r="AF13" s="15">
        <v>1</v>
      </c>
      <c r="AG13" s="15">
        <v>1</v>
      </c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5.109375" customWidth="1"/>
    <col min="5" max="5" width="17.33203125" bestFit="1" customWidth="1"/>
  </cols>
  <sheetData>
    <row r="4" spans="2:5" x14ac:dyDescent="0.3">
      <c r="B4" s="22" t="s">
        <v>20</v>
      </c>
      <c r="C4" s="23" t="s">
        <v>63</v>
      </c>
      <c r="D4" s="23" t="s">
        <v>64</v>
      </c>
      <c r="E4" s="13" t="s">
        <v>65</v>
      </c>
    </row>
    <row r="5" spans="2:5" x14ac:dyDescent="0.3">
      <c r="B5" s="21" t="s">
        <v>66</v>
      </c>
      <c r="C5" s="8">
        <v>1025461380</v>
      </c>
      <c r="D5" s="4" t="s">
        <v>67</v>
      </c>
      <c r="E5" s="12" t="s">
        <v>68</v>
      </c>
    </row>
    <row r="6" spans="2:5" x14ac:dyDescent="0.3">
      <c r="B6" s="21" t="s">
        <v>69</v>
      </c>
      <c r="C6" s="8">
        <v>1098926370</v>
      </c>
      <c r="D6" s="4" t="s">
        <v>70</v>
      </c>
      <c r="E6" s="12" t="s">
        <v>71</v>
      </c>
    </row>
    <row r="7" spans="2:5" x14ac:dyDescent="0.3">
      <c r="B7" s="21" t="s">
        <v>48</v>
      </c>
      <c r="C7" s="8">
        <v>5227080</v>
      </c>
      <c r="D7" s="4" t="s">
        <v>72</v>
      </c>
      <c r="E7" s="12" t="s">
        <v>73</v>
      </c>
    </row>
    <row r="8" spans="2:5" x14ac:dyDescent="0.3">
      <c r="B8" s="21" t="s">
        <v>50</v>
      </c>
      <c r="C8" s="8">
        <v>8935048</v>
      </c>
      <c r="D8" s="4" t="s">
        <v>74</v>
      </c>
      <c r="E8" s="12" t="s">
        <v>75</v>
      </c>
    </row>
    <row r="9" spans="2:5" x14ac:dyDescent="0.3">
      <c r="B9" s="21" t="s">
        <v>76</v>
      </c>
      <c r="C9" s="8">
        <v>10093674</v>
      </c>
      <c r="D9" s="4" t="s">
        <v>77</v>
      </c>
      <c r="E9" s="12" t="s">
        <v>78</v>
      </c>
    </row>
    <row r="10" spans="2:5" x14ac:dyDescent="0.3">
      <c r="B10" s="20" t="s">
        <v>79</v>
      </c>
      <c r="C10" s="24">
        <v>1000554334</v>
      </c>
      <c r="D10" s="25" t="s">
        <v>80</v>
      </c>
      <c r="E10" s="19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22" t="s">
        <v>10</v>
      </c>
      <c r="C4" s="26" t="s">
        <v>82</v>
      </c>
      <c r="D4" s="23" t="s">
        <v>13</v>
      </c>
      <c r="E4" s="26" t="s">
        <v>14</v>
      </c>
    </row>
    <row r="5" spans="2:5" x14ac:dyDescent="0.3">
      <c r="B5" s="21" t="s">
        <v>83</v>
      </c>
      <c r="C5" s="4" t="s">
        <v>84</v>
      </c>
      <c r="D5" s="5">
        <v>0.05</v>
      </c>
      <c r="E5" s="6">
        <v>180000</v>
      </c>
    </row>
    <row r="6" spans="2:5" x14ac:dyDescent="0.3">
      <c r="B6" s="21" t="s">
        <v>85</v>
      </c>
      <c r="C6" s="4" t="s">
        <v>86</v>
      </c>
      <c r="D6" s="5">
        <v>0.08</v>
      </c>
      <c r="E6" s="6">
        <v>470000</v>
      </c>
    </row>
    <row r="7" spans="2:5" x14ac:dyDescent="0.3">
      <c r="B7" s="21" t="s">
        <v>49</v>
      </c>
      <c r="C7" s="4" t="s">
        <v>87</v>
      </c>
      <c r="D7" s="5">
        <v>0.1</v>
      </c>
      <c r="E7" s="6">
        <v>250000</v>
      </c>
    </row>
    <row r="8" spans="2:5" x14ac:dyDescent="0.3">
      <c r="B8" s="21" t="s">
        <v>51</v>
      </c>
      <c r="C8" s="4" t="s">
        <v>88</v>
      </c>
      <c r="D8" s="5">
        <v>0.15</v>
      </c>
      <c r="E8" s="6">
        <v>130000</v>
      </c>
    </row>
    <row r="9" spans="2:5" x14ac:dyDescent="0.3">
      <c r="B9" s="21" t="s">
        <v>52</v>
      </c>
      <c r="C9" s="4" t="s">
        <v>89</v>
      </c>
      <c r="D9" s="5">
        <v>0.04</v>
      </c>
      <c r="E9" s="6">
        <v>240000</v>
      </c>
    </row>
    <row r="10" spans="2:5" x14ac:dyDescent="0.3">
      <c r="B10" s="21" t="s">
        <v>53</v>
      </c>
      <c r="C10" s="4" t="s">
        <v>90</v>
      </c>
      <c r="D10" s="5">
        <v>0.16</v>
      </c>
      <c r="E10" s="6">
        <v>2000000</v>
      </c>
    </row>
    <row r="11" spans="2:5" x14ac:dyDescent="0.3">
      <c r="B11" s="21" t="s">
        <v>54</v>
      </c>
      <c r="C11" s="4" t="s">
        <v>91</v>
      </c>
      <c r="D11" s="5">
        <v>0.02</v>
      </c>
      <c r="E11" s="6">
        <v>2500000</v>
      </c>
    </row>
    <row r="12" spans="2:5" x14ac:dyDescent="0.3">
      <c r="B12" s="21" t="s">
        <v>55</v>
      </c>
      <c r="C12" s="4" t="s">
        <v>92</v>
      </c>
      <c r="D12" s="5">
        <v>0.04</v>
      </c>
      <c r="E12" s="6">
        <v>180007</v>
      </c>
    </row>
    <row r="13" spans="2:5" x14ac:dyDescent="0.3">
      <c r="B13" s="21" t="s">
        <v>56</v>
      </c>
      <c r="C13" s="4" t="s">
        <v>93</v>
      </c>
      <c r="D13" s="5">
        <v>0.08</v>
      </c>
      <c r="E13" s="6">
        <v>400000</v>
      </c>
    </row>
    <row r="14" spans="2:5" x14ac:dyDescent="0.3">
      <c r="B14" s="21" t="s">
        <v>57</v>
      </c>
      <c r="C14" s="4" t="s">
        <v>94</v>
      </c>
      <c r="D14" s="5">
        <v>0.04</v>
      </c>
      <c r="E14" s="6">
        <v>120000</v>
      </c>
    </row>
    <row r="15" spans="2:5" x14ac:dyDescent="0.3">
      <c r="B15" s="21" t="s">
        <v>58</v>
      </c>
      <c r="C15" s="4" t="s">
        <v>95</v>
      </c>
      <c r="D15" s="5">
        <v>0.11</v>
      </c>
      <c r="E15" s="6">
        <v>200000</v>
      </c>
    </row>
    <row r="16" spans="2:5" x14ac:dyDescent="0.3">
      <c r="B16" s="21" t="s">
        <v>59</v>
      </c>
      <c r="C16" s="4" t="s">
        <v>96</v>
      </c>
      <c r="D16" s="5">
        <v>0.12</v>
      </c>
      <c r="E16" s="6">
        <v>500000</v>
      </c>
    </row>
    <row r="17" spans="2:9" x14ac:dyDescent="0.3">
      <c r="B17" s="21" t="s">
        <v>60</v>
      </c>
      <c r="C17" s="4" t="s">
        <v>97</v>
      </c>
      <c r="D17" s="5">
        <v>0.13</v>
      </c>
      <c r="E17" s="6">
        <v>350000</v>
      </c>
    </row>
    <row r="18" spans="2:9" x14ac:dyDescent="0.3">
      <c r="B18" s="21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3">
      <c r="B19" s="20" t="s">
        <v>62</v>
      </c>
      <c r="C19" s="25" t="s">
        <v>97</v>
      </c>
      <c r="D19" s="27">
        <v>2.13</v>
      </c>
      <c r="E19" s="28">
        <v>350002</v>
      </c>
    </row>
    <row r="22" spans="2:9" x14ac:dyDescent="0.3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2022-08-13T04:56:29Z</dcterms:modified>
  <cp:category/>
  <cp:contentStatus/>
</cp:coreProperties>
</file>
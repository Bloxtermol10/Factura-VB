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9" documentId="13_ncr:1_{93CC263A-AE7A-4B6B-9FCA-2A97C09E44AB}" xr6:coauthVersionLast="47" xr6:coauthVersionMax="47" xr10:uidLastSave="{5559D6C8-AD9A-4BE9-A81B-2E16EEE1BC48}"/>
  <bookViews>
    <workbookView xWindow="-108" yWindow="-108" windowWidth="23256" windowHeight="13176" xr2:uid="{E7BCC358-6F38-4867-B30C-32EEB422F7F0}"/>
  </bookViews>
  <sheets>
    <sheet name="NUEVA" sheetId="2" r:id="rId1"/>
    <sheet name="BUSQUEDA" sheetId="10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FACTURAS!$E$3:$E$6</definedName>
    <definedName name="_xlnm._FilterDatabase" localSheetId="0" hidden="1">NUEVA!$D$15:$T$27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6" i="10" l="1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X26" i="10" s="1"/>
  <c r="A25" i="10"/>
  <c r="D25" i="10" s="1"/>
  <c r="A24" i="10"/>
  <c r="A23" i="10"/>
  <c r="A22" i="10"/>
  <c r="A21" i="10"/>
  <c r="D21" i="10" s="1"/>
  <c r="A20" i="10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2" i="10" l="1"/>
  <c r="X18" i="10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AD18" i="10"/>
  <c r="AD22" i="10"/>
  <c r="AD26" i="10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<sst xmlns="http://schemas.openxmlformats.org/spreadsheetml/2006/main" count="162" uniqueCount="98">
  <si>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</si>
  <si>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</si>
  <si>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</si>
  <si>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</si>
  <si>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</si>
  <si>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</si>
  <si>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</si>
  <si>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</si>
  <si>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</si>
  <si>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</si>
  <si>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</si>
  <si>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</si>
  <si>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</si>
  <si>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</si>
  <si>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</si>
  <si>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</si>
  <si>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</si>
  <si>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</si>
  <si>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</si>
  <si>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</si>
  <si>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</si>
  <si>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</si>
  <si>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</si>
  <si>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</si>
  <si>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</si>
  <si>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</si>
  <si>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</si>
  <si>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</si>
  <si>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</si>
  <si>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</si>
  <si>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</si>
  <si>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</si>
  <si>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</si>
  <si>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</si>
  <si>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</si>
  <si>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</si>
  <si>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</si>
  <si>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</si>
  <si>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</si>
  <si>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</si>
  <si>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</si>
  <si>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</si>
  <si>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</si>
  <si>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</si>
  <si>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</si>
  <si>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</si>
  <si>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</si>
  <si>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</si>
  <si>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</si>
  <si>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</si>
  <si>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</si>
  <si>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</si>
  <si>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</si>
  <si>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</si>
  <si>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</si>
  <si>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</si>
  <si>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</si>
  <si>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</si>
  <si>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</si>
  <si>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</si>
  <si>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</si>
  <si>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</si>
  <si>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</si>
  <si>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</si>
  <si>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</si>
  <si>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</si>
  <si>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</si>
  <si>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</si>
  <si>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</si>
  <si>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</si>
  <si>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</si>
  <si>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</si>
  <si>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</si>
  <si>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</si>
  <si>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</si>
  <si>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</si>
  <si>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</si>
  <si>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</si>
  <si>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</si>
  <si>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</si>
  <si>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</si>
  <si>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</si>
  <si>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</si>
  <si>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</si>
  <si>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</si>
  <si>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</si>
  <si>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</si>
  <si>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</si>
  <si>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</si>
  <si>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</si>
  <si>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</si>
  <si>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</si>
  <si>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</si>
  <si>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</si>
  <si>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</si>
  <si>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AN114</t>
  </si>
  <si>
    <t>AN115</t>
  </si>
  <si>
    <t>AN116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</si>
</sst>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0" xfId="0" applyAlignment="1">
      <alignment horizontal="left"/>
    </xf>
    <xf numFmtId="0" fontId="0" fillId="0" borderId="7" xfId="0" applyBorder="1" applyAlignment="1"/>
    <xf numFmtId="0" fontId="0" fillId="0" borderId="10" xfId="0" applyBorder="1" applyAlignment="1"/>
    <xf numFmtId="0" fontId="0" fillId="0" borderId="17" xfId="0" applyBorder="1" applyAlignment="1"/>
    <xf numFmtId="165" fontId="0" fillId="0" borderId="10" xfId="0" applyNumberFormat="1" applyBorder="1" applyAlignment="1"/>
    <xf numFmtId="0" fontId="0" fillId="0" borderId="13" xfId="0" applyFont="1" applyBorder="1" applyAlignment="1">
      <alignment horizontal="center" vertical="center"/>
    </xf>
    <xf numFmtId="166" fontId="0" fillId="3" borderId="14" xfId="0" applyNumberFormat="1" applyFont="1" applyFill="1" applyBorder="1" applyAlignment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0" xfId="0" applyBorder="1"/>
    <xf numFmtId="0" fontId="0" fillId="0" borderId="18" xfId="0" applyBorder="1"/>
    <xf numFmtId="0" fontId="0" fillId="0" borderId="19" xfId="0" applyBorder="1"/>
    <xf numFmtId="0" fontId="0" fillId="0" borderId="17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6" totalsRowShown="0" headerRowDxfId="47" dataDxfId="46" tableBorderDxfId="45">
  <autoFilter ref="E2:AG6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8" headerRowBorderDxfId="14" tableBorderDxfId="15" totalsRowBorderDxfId="13">
  <autoFilter ref="B4:E10" xr:uid="{A3A7CEA5-A85A-4374-915F-AADFBFE4FC2F}"/>
  <tableColumns count="4">
    <tableColumn id="1" xr3:uid="{6957116F-F781-40F2-B6B4-E6517ECA373E}" name="Nombre" dataDxfId="12"/>
    <tableColumn id="2" xr3:uid="{DDB207B9-02A1-4AB6-9BFD-AB7B064F448C}" name="Cedula" dataDxfId="11"/>
    <tableColumn id="3" xr3:uid="{511191B9-1398-4F43-8FD2-F71AE1F513E3}" name="Departamento" dataDxfId="10"/>
    <tableColumn id="4" xr3:uid="{BEBA518B-EFCA-4F09-ADB6-4F119C4C4C13}" name="Direccio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0" headerRowBorderDxfId="6" tableBorderDxfId="7" totalsRowBorderDxfId="5">
  <autoFilter ref="B4:E19" xr:uid="{1B4E5274-78CC-495D-8DDA-FED43DFA067B}"/>
  <tableColumns count="4">
    <tableColumn id="1" xr3:uid="{8048EA71-AA96-47CB-B0F2-94129787A1C1}" name="CODIGO" dataDxfId="4"/>
    <tableColumn id="2" xr3:uid="{4262B29F-972D-435C-B0B7-337C854BA530}" name="NOMBRE DEL PRODUCTO " dataDxfId="3"/>
    <tableColumn id="3" xr3:uid="{8EFFFDD8-90A3-46A3-81C7-9110603BECC1}" name="VR. IVA" dataDxfId="2" dataCellStyle="Porcentaje"/>
    <tableColumn id="4" xr3:uid="{2707E3CF-3F0D-44A5-ACF1-5AB3288BA46D}" name="VALOR TOTAL" dataDxfId="1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topLeftCell="A26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3"/>
      <c r="B1" s="34"/>
      <c r="C1" s="34"/>
      <c r="D1" s="34"/>
      <c r="E1" s="3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4" t="s">
        <v>0</v>
      </c>
      <c r="AL1" s="34"/>
      <c r="AM1" s="34"/>
      <c r="AN1" s="11"/>
    </row>
    <row r="2" spans="1:42" x14ac:dyDescent="0.3">
      <c r="A2" s="35"/>
      <c r="B2" s="36"/>
      <c r="C2" s="36"/>
      <c r="D2" s="36"/>
      <c r="E2" s="36"/>
      <c r="AK2" s="38">
        <f ca="1">TODAY()</f>
        <v>44783</v>
      </c>
      <c r="AL2" s="38"/>
      <c r="AM2" s="38"/>
      <c r="AN2" s="9"/>
    </row>
    <row r="3" spans="1:42" x14ac:dyDescent="0.3">
      <c r="A3" s="35"/>
      <c r="B3" s="36"/>
      <c r="C3" s="36"/>
      <c r="D3" s="36"/>
      <c r="E3" s="36"/>
      <c r="O3" s="41" t="s">
        <v>1</v>
      </c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N3" s="3"/>
    </row>
    <row r="4" spans="1:42" x14ac:dyDescent="0.3">
      <c r="A4" s="35"/>
      <c r="B4" s="36"/>
      <c r="C4" s="36"/>
      <c r="D4" s="36"/>
      <c r="E4" s="36"/>
      <c r="AK4" s="36" t="s">
        <v>67</v>
      </c>
      <c r="AL4" s="36"/>
      <c r="AM4" s="36"/>
      <c r="AN4" s="10"/>
    </row>
    <row r="5" spans="1:42" ht="15" customHeight="1" x14ac:dyDescent="0.3">
      <c r="A5" s="35"/>
      <c r="B5" s="36"/>
      <c r="C5" s="36"/>
      <c r="D5" s="36"/>
      <c r="E5" s="36"/>
      <c r="O5" s="36" t="s">
        <v>2</v>
      </c>
      <c r="P5" s="36"/>
      <c r="Q5" s="36"/>
      <c r="R5" s="36"/>
      <c r="S5" s="36"/>
      <c r="T5" s="36"/>
      <c r="U5" s="36"/>
      <c r="V5" s="36"/>
      <c r="W5" s="36"/>
      <c r="X5" s="36"/>
      <c r="Y5" s="36"/>
      <c r="AJ5" t="s">
        <v>64</v>
      </c>
      <c r="AK5" s="39"/>
      <c r="AL5" s="39"/>
      <c r="AM5" s="39"/>
      <c r="AN5" s="10"/>
    </row>
    <row r="6" spans="1:42" x14ac:dyDescent="0.3">
      <c r="A6" s="35"/>
      <c r="B6" s="36"/>
      <c r="C6" s="36"/>
      <c r="D6" s="36"/>
      <c r="E6" s="36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2" t="s">
        <v>3</v>
      </c>
      <c r="G9" s="42"/>
      <c r="H9" s="42"/>
      <c r="I9" s="42"/>
      <c r="J9" s="42"/>
      <c r="K9" s="42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N9" s="3"/>
      <c r="AP9" s="12"/>
    </row>
    <row r="10" spans="1:42" ht="15" thickBot="1" x14ac:dyDescent="0.35">
      <c r="A10" s="2"/>
      <c r="F10" s="42" t="s">
        <v>5</v>
      </c>
      <c r="G10" s="42"/>
      <c r="H10" s="42"/>
      <c r="I10" s="42"/>
      <c r="J10" s="42"/>
      <c r="K10" s="42"/>
      <c r="P10" s="34" t="str">
        <f>IF(P9="","",VLOOKUP(P9,M_Empleados[],2,FALSE))</f>
        <v/>
      </c>
      <c r="Q10" s="34"/>
      <c r="R10" s="34"/>
      <c r="S10" s="34"/>
      <c r="T10" s="34"/>
      <c r="U10" s="34"/>
      <c r="V10" s="34"/>
      <c r="W10" s="34"/>
      <c r="X10" s="34"/>
      <c r="Y10" s="34"/>
      <c r="Z10" s="34"/>
      <c r="AN10" s="3"/>
    </row>
    <row r="11" spans="1:42" ht="15" thickBot="1" x14ac:dyDescent="0.35">
      <c r="A11" s="2"/>
      <c r="F11" s="42" t="s">
        <v>6</v>
      </c>
      <c r="G11" s="42"/>
      <c r="H11" s="42"/>
      <c r="I11" s="42"/>
      <c r="J11" s="42"/>
      <c r="K11" s="42"/>
      <c r="P11" s="34" t="str">
        <f>IF(P10="","",VLOOKUP(P9,M_Empleados[],3,FALSE))</f>
        <v/>
      </c>
      <c r="Q11" s="34"/>
      <c r="R11" s="34"/>
      <c r="S11" s="34"/>
      <c r="T11" s="34"/>
      <c r="U11" s="34"/>
      <c r="V11" s="34"/>
      <c r="W11" s="34"/>
      <c r="X11" s="34"/>
      <c r="Y11" s="34"/>
      <c r="Z11" s="34"/>
      <c r="AN11" s="3"/>
    </row>
    <row r="12" spans="1:42" ht="15" thickBot="1" x14ac:dyDescent="0.35">
      <c r="A12" s="2"/>
      <c r="F12" s="42" t="s">
        <v>7</v>
      </c>
      <c r="G12" s="42"/>
      <c r="H12" s="42"/>
      <c r="I12" s="7"/>
      <c r="J12" s="7"/>
      <c r="K12" s="7"/>
      <c r="P12" s="37" t="str">
        <f>IF(P11="","",VLOOKUP(P9,M_Empleados[],4,FALSE))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N12" s="3"/>
    </row>
    <row r="13" spans="1:42" x14ac:dyDescent="0.3">
      <c r="A13" s="2"/>
      <c r="AN13" s="3"/>
    </row>
    <row r="14" spans="1:42" x14ac:dyDescent="0.3">
      <c r="A14" s="32" t="s">
        <v>8</v>
      </c>
      <c r="B14" s="32"/>
      <c r="C14" s="32"/>
      <c r="D14" s="32" t="s">
        <v>9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 t="s">
        <v>10</v>
      </c>
      <c r="V14" s="32"/>
      <c r="W14" s="32"/>
      <c r="X14" s="32" t="s">
        <v>11</v>
      </c>
      <c r="Y14" s="32"/>
      <c r="Z14" s="32"/>
      <c r="AA14" s="32"/>
      <c r="AB14" s="32"/>
      <c r="AC14" s="32"/>
      <c r="AD14" s="32" t="s">
        <v>12</v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</row>
    <row r="15" spans="1:42" x14ac:dyDescent="0.3">
      <c r="A15" s="31"/>
      <c r="B15" s="31"/>
      <c r="C15" s="31"/>
      <c r="D15" s="30" t="str">
        <f>IF(A15="","",(VLOOKUP(A15,M_Productos[],2,FALSE)))</f>
        <v/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23"/>
      <c r="V15" s="24"/>
      <c r="W15" s="25"/>
      <c r="X15" s="29" t="str">
        <f>IF(A15="","",(VLOOKUP(A15,M_Productos[],4,FALSE)*VLOOKUP($A15,M_Productos[],3,FALSE)*U15))</f>
        <v/>
      </c>
      <c r="Y15" s="29"/>
      <c r="Z15" s="29"/>
      <c r="AA15" s="29"/>
      <c r="AB15" s="29"/>
      <c r="AC15" s="29"/>
      <c r="AD15" s="29" t="str">
        <f>IF(A15="","",((VLOOKUP(A15,M_Productos[],4,FALSE) + X15)*U15))</f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P15" s="13"/>
    </row>
    <row r="16" spans="1:42" x14ac:dyDescent="0.3">
      <c r="A16" s="31"/>
      <c r="B16" s="31"/>
      <c r="C16" s="31"/>
      <c r="D16" s="30" t="str">
        <f>IF(A16="","",(VLOOKUP(A16,M_Productos[],2,FALSE)))</f>
        <v/>
      </c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23"/>
      <c r="V16" s="24"/>
      <c r="W16" s="25"/>
      <c r="X16" s="29" t="str">
        <f>IF(A16="","",(VLOOKUP(A16,M_Productos[],4,FALSE)*VLOOKUP($A16,M_Productos[],3,FALSE)*U16))</f>
        <v/>
      </c>
      <c r="Y16" s="29"/>
      <c r="Z16" s="29"/>
      <c r="AA16" s="29"/>
      <c r="AB16" s="29"/>
      <c r="AC16" s="29"/>
      <c r="AD16" s="29" t="str">
        <f>IF(A16="","",((VLOOKUP(A16,M_Productos[],4,FALSE) + X16)*U16))</f>
        <v/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P16" s="13"/>
    </row>
    <row r="17" spans="1:42" x14ac:dyDescent="0.3">
      <c r="A17" s="31"/>
      <c r="B17" s="31"/>
      <c r="C17" s="31"/>
      <c r="D17" s="30" t="str">
        <f>IF(A17="","",(VLOOKUP(A17,M_Productos[],2,FALSE)))</f>
        <v/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23"/>
      <c r="V17" s="24"/>
      <c r="W17" s="25"/>
      <c r="X17" s="29" t="str">
        <f>IF(A17="","",(VLOOKUP(A17,M_Productos[],4,FALSE)*VLOOKUP($A17,M_Productos[],3,FALSE)*U17))</f>
        <v/>
      </c>
      <c r="Y17" s="29"/>
      <c r="Z17" s="29"/>
      <c r="AA17" s="29"/>
      <c r="AB17" s="29"/>
      <c r="AC17" s="29"/>
      <c r="AD17" s="29" t="str">
        <f>IF(A17="","",((VLOOKUP(A17,M_Productos[],4,FALSE) + X17)*U17))</f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P17" s="13"/>
    </row>
    <row r="18" spans="1:42" x14ac:dyDescent="0.3">
      <c r="A18" s="31"/>
      <c r="B18" s="31"/>
      <c r="C18" s="31"/>
      <c r="D18" s="30" t="str">
        <f>IF(A18="","",(VLOOKUP(A18,M_Productos[],2,FALSE)))</f>
        <v/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23"/>
      <c r="V18" s="24"/>
      <c r="W18" s="25"/>
      <c r="X18" s="29" t="str">
        <f>IF(A18="","",(VLOOKUP(A18,M_Productos[],4,FALSE)*VLOOKUP($A18,M_Productos[],3,FALSE)*U18))</f>
        <v/>
      </c>
      <c r="Y18" s="29"/>
      <c r="Z18" s="29"/>
      <c r="AA18" s="29"/>
      <c r="AB18" s="29"/>
      <c r="AC18" s="29"/>
      <c r="AD18" s="29" t="str">
        <f>IF(A18="","",((VLOOKUP(A18,M_Productos[],4,FALSE) + X18)*U18))</f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P18" s="13"/>
    </row>
    <row r="19" spans="1:42" x14ac:dyDescent="0.3">
      <c r="A19" s="31"/>
      <c r="B19" s="31"/>
      <c r="C19" s="31"/>
      <c r="D19" s="30" t="str">
        <f>IF(A19="","",(VLOOKUP(A19,M_Productos[],2,FALSE)))</f>
        <v/>
      </c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23"/>
      <c r="V19" s="24"/>
      <c r="W19" s="25"/>
      <c r="X19" s="29" t="str">
        <f>IF(A19="","",(VLOOKUP(A19,M_Productos[],4,FALSE)*VLOOKUP($A19,M_Productos[],3,FALSE)*U19))</f>
        <v/>
      </c>
      <c r="Y19" s="29"/>
      <c r="Z19" s="29"/>
      <c r="AA19" s="29"/>
      <c r="AB19" s="29"/>
      <c r="AC19" s="29"/>
      <c r="AD19" s="29" t="str">
        <f>IF(A19="","",((VLOOKUP(A19,M_Productos[],4,FALSE) + X19)*U19))</f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P19" s="13"/>
    </row>
    <row r="20" spans="1:42" x14ac:dyDescent="0.3">
      <c r="A20" s="31"/>
      <c r="B20" s="31"/>
      <c r="C20" s="31"/>
      <c r="D20" s="30" t="str">
        <f>IF(A20="","",(VLOOKUP(A20,M_Productos[],2,FALSE)))</f>
        <v/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23"/>
      <c r="V20" s="24"/>
      <c r="W20" s="25"/>
      <c r="X20" s="29" t="str">
        <f>IF(A20="","",(VLOOKUP(A20,M_Productos[],4,FALSE)*VLOOKUP($A20,M_Productos[],3,FALSE)*U20))</f>
        <v/>
      </c>
      <c r="Y20" s="29"/>
      <c r="Z20" s="29"/>
      <c r="AA20" s="29"/>
      <c r="AB20" s="29"/>
      <c r="AC20" s="29"/>
      <c r="AD20" s="29" t="str">
        <f>IF(A20="","",((VLOOKUP(A20,M_Productos[],4,FALSE) + X20)*U20))</f>
        <v/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P20" s="13"/>
    </row>
    <row r="21" spans="1:42" x14ac:dyDescent="0.3">
      <c r="A21" s="31"/>
      <c r="B21" s="31"/>
      <c r="C21" s="31"/>
      <c r="D21" s="30" t="str">
        <f>IF(A21="","",(VLOOKUP(A21,M_Productos[],2,FALSE)))</f>
        <v/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23"/>
      <c r="V21" s="24"/>
      <c r="W21" s="25"/>
      <c r="X21" s="29" t="str">
        <f>IF(A21="","",(VLOOKUP(A21,M_Productos[],4,FALSE)*VLOOKUP($A21,M_Productos[],3,FALSE)*U21))</f>
        <v/>
      </c>
      <c r="Y21" s="29"/>
      <c r="Z21" s="29"/>
      <c r="AA21" s="29"/>
      <c r="AB21" s="29"/>
      <c r="AC21" s="29"/>
      <c r="AD21" s="29" t="str">
        <f>IF(A21="","",((VLOOKUP(A21,M_Productos[],4,FALSE) + X21)*U21))</f>
        <v/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P21" s="13"/>
    </row>
    <row r="22" spans="1:42" x14ac:dyDescent="0.3">
      <c r="A22" s="31"/>
      <c r="B22" s="31"/>
      <c r="C22" s="31"/>
      <c r="D22" s="30" t="str">
        <f>IF(A22="","",(VLOOKUP(A22,M_Productos[],2,FALSE)))</f>
        <v/>
      </c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23"/>
      <c r="V22" s="24"/>
      <c r="W22" s="25"/>
      <c r="X22" s="29" t="str">
        <f>IF(A22="","",(VLOOKUP(A22,M_Productos[],4,FALSE)*VLOOKUP($A22,M_Productos[],3,FALSE)*U22))</f>
        <v/>
      </c>
      <c r="Y22" s="29"/>
      <c r="Z22" s="29"/>
      <c r="AA22" s="29"/>
      <c r="AB22" s="29"/>
      <c r="AC22" s="29"/>
      <c r="AD22" s="29" t="str">
        <f>IF(A22="","",((VLOOKUP(A22,M_Productos[],4,FALSE) + X22)*U22))</f>
        <v/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P22" s="13"/>
    </row>
    <row r="23" spans="1:42" x14ac:dyDescent="0.3">
      <c r="A23" s="31"/>
      <c r="B23" s="31"/>
      <c r="C23" s="31"/>
      <c r="D23" s="30" t="str">
        <f>IF(A23="","",(VLOOKUP(A23,M_Productos[],2,FALSE)))</f>
        <v/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23"/>
      <c r="V23" s="24"/>
      <c r="W23" s="25"/>
      <c r="X23" s="29" t="str">
        <f>IF(A23="","",(VLOOKUP(A23,M_Productos[],4,FALSE)*VLOOKUP($A23,M_Productos[],3,FALSE)*U23))</f>
        <v/>
      </c>
      <c r="Y23" s="29"/>
      <c r="Z23" s="29"/>
      <c r="AA23" s="29"/>
      <c r="AB23" s="29"/>
      <c r="AC23" s="29"/>
      <c r="AD23" s="29" t="str">
        <f>IF(A23="","",((VLOOKUP(A23,M_Productos[],4,FALSE) + X23)*U23))</f>
        <v/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P23" s="13"/>
    </row>
    <row r="24" spans="1:42" x14ac:dyDescent="0.3">
      <c r="A24" s="31"/>
      <c r="B24" s="31"/>
      <c r="C24" s="31"/>
      <c r="D24" s="30" t="str">
        <f>IF(A24="","",(VLOOKUP(A24,M_Productos[],2,FALSE)))</f>
        <v/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23"/>
      <c r="V24" s="24"/>
      <c r="W24" s="25"/>
      <c r="X24" s="29" t="str">
        <f>IF(A24="","",(VLOOKUP(A24,M_Productos[],4,FALSE)*VLOOKUP($A24,M_Productos[],3,FALSE)*U24))</f>
        <v/>
      </c>
      <c r="Y24" s="29"/>
      <c r="Z24" s="29"/>
      <c r="AA24" s="29"/>
      <c r="AB24" s="29"/>
      <c r="AC24" s="29"/>
      <c r="AD24" s="29" t="str">
        <f>IF(A24="","",((VLOOKUP(A24,M_Productos[],4,FALSE) + X24)*U24))</f>
        <v/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P24" s="13"/>
    </row>
    <row r="25" spans="1:42" x14ac:dyDescent="0.3">
      <c r="A25" s="31"/>
      <c r="B25" s="31"/>
      <c r="C25" s="31"/>
      <c r="D25" s="30" t="str">
        <f>IF(A25="","",(VLOOKUP(A25,M_Productos[],2,FALSE)))</f>
        <v/>
      </c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23"/>
      <c r="V25" s="24"/>
      <c r="W25" s="25"/>
      <c r="X25" s="29" t="str">
        <f>IF(A25="","",(VLOOKUP(A25,M_Productos[],4,FALSE)*VLOOKUP($A25,M_Productos[],3,FALSE)*U25))</f>
        <v/>
      </c>
      <c r="Y25" s="29"/>
      <c r="Z25" s="29"/>
      <c r="AA25" s="29"/>
      <c r="AB25" s="29"/>
      <c r="AC25" s="29"/>
      <c r="AD25" s="29" t="str">
        <f>IF(A25="","",((VLOOKUP(A25,M_Productos[],4,FALSE) + X25)*U25))</f>
        <v/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P25" s="13"/>
    </row>
    <row r="26" spans="1:42" x14ac:dyDescent="0.3">
      <c r="A26" s="31"/>
      <c r="B26" s="31"/>
      <c r="C26" s="31"/>
      <c r="D26" s="30" t="str">
        <f>IF(A26="","",(VLOOKUP(A26,M_Productos[],2,FALSE)))</f>
        <v/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23"/>
      <c r="V26" s="24"/>
      <c r="W26" s="25"/>
      <c r="X26" s="29" t="str">
        <f>IF(A26="","",(VLOOKUP(A26,M_Productos[],4,FALSE)*VLOOKUP($A26,M_Productos[],3,FALSE)*U26))</f>
        <v/>
      </c>
      <c r="Y26" s="29"/>
      <c r="Z26" s="29"/>
      <c r="AA26" s="29"/>
      <c r="AB26" s="29"/>
      <c r="AC26" s="29"/>
      <c r="AD26" s="29" t="str">
        <f>IF(A26="","",((VLOOKUP(A26,M_Productos[],4,FALSE) + X26)*U26))</f>
        <v/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P26" s="13"/>
    </row>
    <row r="27" spans="1:42" x14ac:dyDescent="0.3">
      <c r="A27" s="31"/>
      <c r="B27" s="31"/>
      <c r="C27" s="31"/>
      <c r="D27" s="30" t="str">
        <f>IF(A27="","",(VLOOKUP(A27,M_Productos[],2,FALSE)))</f>
        <v/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23"/>
      <c r="V27" s="24"/>
      <c r="W27" s="25"/>
      <c r="X27" s="29" t="str">
        <f>IF(A27="","",(VLOOKUP(A27,M_Productos[],4,FALSE)*VLOOKUP($A27,M_Productos[],3,FALSE)*U27))</f>
        <v/>
      </c>
      <c r="Y27" s="29"/>
      <c r="Z27" s="29"/>
      <c r="AA27" s="29"/>
      <c r="AB27" s="29"/>
      <c r="AC27" s="29"/>
      <c r="AD27" s="29" t="str">
        <f>IF(A27="","",((VLOOKUP(A27,M_Productos[],4,FALSE) + X27)*U27))</f>
        <v/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P27" s="13"/>
    </row>
    <row r="28" spans="1:42" ht="20.25" customHeight="1" x14ac:dyDescent="0.3">
      <c r="A28" s="26" t="s">
        <v>21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7">
        <f>SUM(AD15:AN27)- SUM(X15:AC27)</f>
        <v>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</row>
    <row r="29" spans="1:42" ht="18" customHeight="1" x14ac:dyDescent="0.3">
      <c r="A29" s="26" t="s">
        <v>22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7">
        <f>SUM(X15:AC27)</f>
        <v>0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</row>
    <row r="30" spans="1:42" ht="21" customHeight="1" x14ac:dyDescent="0.3">
      <c r="A30" s="26" t="s">
        <v>23</v>
      </c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8">
        <f>SUM(AD28:AN29)</f>
        <v>0</v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</row>
    <row r="31" spans="1:42" ht="18" customHeight="1" x14ac:dyDescent="0.3">
      <c r="A31" s="26" t="s">
        <v>65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7">
        <f>IF(AD28&lt;1000000,+AD28-AD30*2%,IF(AD28&lt;5000000,+AD28-AD30*5%,IF(AD28&lt;10000000,+AD28-AD30*10%,IF(AD28&lt;30000000,+AD28-AD30*15%,IF(AD28&gt;30000000,+AD28-AD30*20%)))))</f>
        <v>0</v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</row>
    <row r="34" spans="2:5" x14ac:dyDescent="0.3">
      <c r="B34" s="40"/>
      <c r="C34" s="40"/>
      <c r="D34" s="40"/>
      <c r="E34" s="40"/>
    </row>
    <row r="35" spans="2:5" x14ac:dyDescent="0.3">
      <c r="B35" s="40"/>
      <c r="C35" s="40"/>
      <c r="D35" s="40"/>
      <c r="E35" s="40"/>
    </row>
  </sheetData>
  <sheetProtection selectLockedCells="1" selectUnlockedCells="1"/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topLeftCell="A6" zoomScale="85" zoomScaleNormal="85" workbookViewId="0">
      <selection activeCell="AK5" sqref="AK5:AM5"/>
    </sheetView>
  </sheetViews>
  <sheetFormatPr baseColWidth="10" defaultColWidth="11.44140625" defaultRowHeight="14.4" x14ac:dyDescent="0.3"/>
  <cols>
    <col min="1" max="2" width="4.44140625" style="12" customWidth="1"/>
    <col min="3" max="3" width="3.88671875" style="12" customWidth="1"/>
    <col min="4" max="4" width="5" style="12" customWidth="1"/>
    <col min="5" max="5" width="3.109375" style="12" customWidth="1"/>
    <col min="6" max="6" width="10" style="12" customWidth="1"/>
    <col min="7" max="7" width="4.5546875" style="12" customWidth="1"/>
    <col min="8" max="8" width="3.88671875" style="12" customWidth="1"/>
    <col min="9" max="9" width="3.5546875" style="12" customWidth="1"/>
    <col min="10" max="10" width="3.33203125" style="12" customWidth="1"/>
    <col min="11" max="11" width="3.44140625" style="12" customWidth="1"/>
    <col min="12" max="12" width="4" style="12" hidden="1" customWidth="1"/>
    <col min="13" max="13" width="2.6640625" style="12" hidden="1" customWidth="1"/>
    <col min="14" max="14" width="3.109375" style="12" hidden="1" customWidth="1"/>
    <col min="15" max="15" width="3.44140625" style="12" hidden="1" customWidth="1"/>
    <col min="16" max="16" width="3.6640625" style="12" customWidth="1"/>
    <col min="17" max="18" width="3.88671875" style="12" customWidth="1"/>
    <col min="19" max="19" width="4" style="12" customWidth="1"/>
    <col min="20" max="20" width="4.44140625" style="12" customWidth="1"/>
    <col min="21" max="21" width="4.109375" style="12" customWidth="1"/>
    <col min="22" max="22" width="5.5546875" style="12" customWidth="1"/>
    <col min="23" max="23" width="3.5546875" style="12" customWidth="1"/>
    <col min="24" max="24" width="9.109375" style="12" customWidth="1"/>
    <col min="25" max="25" width="1.88671875" style="12" customWidth="1"/>
    <col min="26" max="26" width="0.5546875" style="12" hidden="1" customWidth="1"/>
    <col min="27" max="27" width="2.5546875" style="12" customWidth="1"/>
    <col min="28" max="28" width="1.44140625" style="12" customWidth="1"/>
    <col min="29" max="29" width="4.6640625" style="12" customWidth="1"/>
    <col min="30" max="30" width="7.88671875" style="12" customWidth="1"/>
    <col min="31" max="32" width="2.5546875" style="12" customWidth="1"/>
    <col min="33" max="33" width="2.109375" style="12" customWidth="1"/>
    <col min="34" max="34" width="2.44140625" style="12" customWidth="1"/>
    <col min="35" max="35" width="2.5546875" style="12" customWidth="1"/>
    <col min="36" max="36" width="3" style="12" customWidth="1"/>
    <col min="37" max="37" width="3.44140625" style="12" customWidth="1"/>
    <col min="38" max="38" width="2.44140625" style="12" customWidth="1"/>
    <col min="39" max="39" width="3.6640625" style="12" customWidth="1"/>
    <col min="40" max="40" width="3.5546875" style="12" customWidth="1"/>
    <col min="41" max="16384" width="11.44140625" style="12"/>
  </cols>
  <sheetData>
    <row r="1" spans="1:42" x14ac:dyDescent="0.3">
      <c r="A1" s="33"/>
      <c r="B1" s="34"/>
      <c r="C1" s="34"/>
      <c r="D1" s="34"/>
      <c r="E1" s="3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4" t="s">
        <v>0</v>
      </c>
      <c r="AL1" s="34"/>
      <c r="AM1" s="34"/>
      <c r="AN1" s="11"/>
    </row>
    <row r="2" spans="1:42" x14ac:dyDescent="0.3">
      <c r="A2" s="35"/>
      <c r="B2" s="36"/>
      <c r="C2" s="36"/>
      <c r="D2" s="36"/>
      <c r="E2" s="36"/>
      <c r="AK2" s="38">
        <f ca="1">TODAY()</f>
        <v>44783</v>
      </c>
      <c r="AL2" s="38"/>
      <c r="AM2" s="38"/>
      <c r="AN2" s="9"/>
    </row>
    <row r="3" spans="1:42" x14ac:dyDescent="0.3">
      <c r="A3" s="35"/>
      <c r="B3" s="36"/>
      <c r="C3" s="36"/>
      <c r="D3" s="36"/>
      <c r="E3" s="36"/>
      <c r="O3" s="41" t="s">
        <v>1</v>
      </c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N3" s="3"/>
    </row>
    <row r="4" spans="1:42" x14ac:dyDescent="0.3">
      <c r="A4" s="35"/>
      <c r="B4" s="36"/>
      <c r="C4" s="36"/>
      <c r="D4" s="36"/>
      <c r="E4" s="36"/>
      <c r="AK4" s="36" t="s">
        <v>67</v>
      </c>
      <c r="AL4" s="36"/>
      <c r="AM4" s="36"/>
      <c r="AN4" s="10"/>
    </row>
    <row r="5" spans="1:42" ht="15" customHeight="1" x14ac:dyDescent="0.3">
      <c r="A5" s="35"/>
      <c r="B5" s="36"/>
      <c r="C5" s="36"/>
      <c r="D5" s="36"/>
      <c r="E5" s="36"/>
      <c r="O5" s="36" t="s">
        <v>2</v>
      </c>
      <c r="P5" s="36"/>
      <c r="Q5" s="36"/>
      <c r="R5" s="36"/>
      <c r="S5" s="36"/>
      <c r="T5" s="36"/>
      <c r="U5" s="36"/>
      <c r="V5" s="36"/>
      <c r="W5" s="36"/>
      <c r="X5" s="36"/>
      <c r="Y5" s="36"/>
      <c r="AJ5" s="12" t="s">
        <v>64</v>
      </c>
      <c r="AK5" s="39">
        <v>3</v>
      </c>
      <c r="AL5" s="39"/>
      <c r="AM5" s="39"/>
      <c r="AN5" s="10"/>
    </row>
    <row r="6" spans="1:42" x14ac:dyDescent="0.3">
      <c r="A6" s="35"/>
      <c r="B6" s="36"/>
      <c r="C6" s="36"/>
      <c r="D6" s="36"/>
      <c r="E6" s="36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2" t="s">
        <v>3</v>
      </c>
      <c r="G9" s="42"/>
      <c r="H9" s="42"/>
      <c r="I9" s="42"/>
      <c r="J9" s="42"/>
      <c r="K9" s="42"/>
      <c r="P9" s="43" t="str">
        <f>IF(VLOOKUP($AK$5,m_facturas[],2,FALSE)="","",VLOOKUP($AK$5,m_facturas[],2,FALSE))</f>
        <v>Diego Ramirez</v>
      </c>
      <c r="Q9" s="43"/>
      <c r="R9" s="43"/>
      <c r="S9" s="43"/>
      <c r="T9" s="43"/>
      <c r="U9" s="43"/>
      <c r="V9" s="43"/>
      <c r="W9" s="43"/>
      <c r="X9" s="43"/>
      <c r="Y9" s="43"/>
      <c r="Z9" s="43"/>
      <c r="AN9" s="3"/>
    </row>
    <row r="10" spans="1:42" ht="15" thickBot="1" x14ac:dyDescent="0.35">
      <c r="A10" s="2"/>
      <c r="F10" s="42" t="s">
        <v>5</v>
      </c>
      <c r="G10" s="42"/>
      <c r="H10" s="42"/>
      <c r="I10" s="42"/>
      <c r="J10" s="42"/>
      <c r="K10" s="42"/>
      <c r="P10" s="34">
        <f>IF(P9="","",VLOOKUP(P9,M_Empleados[],2,FALSE))</f>
        <v>1025461380</v>
      </c>
      <c r="Q10" s="34"/>
      <c r="R10" s="34"/>
      <c r="S10" s="34"/>
      <c r="T10" s="34"/>
      <c r="U10" s="34"/>
      <c r="V10" s="34"/>
      <c r="W10" s="34"/>
      <c r="X10" s="34"/>
      <c r="Y10" s="34"/>
      <c r="Z10" s="34"/>
      <c r="AN10" s="3"/>
    </row>
    <row r="11" spans="1:42" ht="15" thickBot="1" x14ac:dyDescent="0.35">
      <c r="A11" s="2"/>
      <c r="F11" s="42" t="s">
        <v>6</v>
      </c>
      <c r="G11" s="42"/>
      <c r="H11" s="42"/>
      <c r="I11" s="42"/>
      <c r="J11" s="42"/>
      <c r="K11" s="42"/>
      <c r="P11" s="34" t="str">
        <f>IF(P10="","",VLOOKUP(P9,M_Empleados[],3,FALSE))</f>
        <v>Soporte</v>
      </c>
      <c r="Q11" s="34"/>
      <c r="R11" s="34"/>
      <c r="S11" s="34"/>
      <c r="T11" s="34"/>
      <c r="U11" s="34"/>
      <c r="V11" s="34"/>
      <c r="W11" s="34"/>
      <c r="X11" s="34"/>
      <c r="Y11" s="34"/>
      <c r="Z11" s="34"/>
      <c r="AN11" s="3"/>
    </row>
    <row r="12" spans="1:42" ht="15" thickBot="1" x14ac:dyDescent="0.35">
      <c r="A12" s="2"/>
      <c r="F12" s="42" t="s">
        <v>7</v>
      </c>
      <c r="G12" s="42"/>
      <c r="H12" s="42"/>
      <c r="I12" s="14"/>
      <c r="J12" s="14"/>
      <c r="K12" s="14"/>
      <c r="P12" s="37" t="str">
        <f>IF(P11="","",VLOOKUP(P9,Empleados,4,FALSE))</f>
        <v>Carrera 15 # 10- 45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N12" s="3"/>
    </row>
    <row r="13" spans="1:42" x14ac:dyDescent="0.3">
      <c r="A13" s="2"/>
      <c r="AN13" s="3"/>
    </row>
    <row r="14" spans="1:42" x14ac:dyDescent="0.3">
      <c r="A14" s="32" t="s">
        <v>8</v>
      </c>
      <c r="B14" s="32"/>
      <c r="C14" s="32"/>
      <c r="D14" s="32" t="s">
        <v>9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 t="s">
        <v>10</v>
      </c>
      <c r="V14" s="32"/>
      <c r="W14" s="32"/>
      <c r="X14" s="32" t="s">
        <v>11</v>
      </c>
      <c r="Y14" s="32"/>
      <c r="Z14" s="32"/>
      <c r="AA14" s="32"/>
      <c r="AB14" s="32"/>
      <c r="AC14" s="32"/>
      <c r="AD14" s="32" t="s">
        <v>12</v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</row>
    <row r="15" spans="1:42" x14ac:dyDescent="0.3">
      <c r="A15" s="44" t="str">
        <f>IF(VLOOKUP($AK$5,m_facturas[],4,FALSE)="","",VLOOKUP($AK$5,m_facturas[],4,FALSE))</f>
        <v>AN101</v>
      </c>
      <c r="B15" s="45"/>
      <c r="C15" s="46"/>
      <c r="D15" s="30" t="str">
        <f>IF(A15="","",(VLOOKUP(A15,M_Productos[],2,FALSE)))</f>
        <v xml:space="preserve">TECLADO RED DRAGON DRACK AVENGER 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44">
        <f>IF(VLOOKUP($AK$5,m_facturas[],19,FALSE)="","",VLOOKUP($AK$5,m_facturas[],18,FALSE))</f>
        <v>2</v>
      </c>
      <c r="V15" s="45"/>
      <c r="W15" s="46"/>
      <c r="X15" s="29">
        <f>IF(A15="","",(VLOOKUP(A15,M_Productos[],4,FALSE)*VLOOKUP($A15,M_Productos[],3,FALSE)*U15))</f>
        <v>18000</v>
      </c>
      <c r="Y15" s="29"/>
      <c r="Z15" s="29"/>
      <c r="AA15" s="29"/>
      <c r="AB15" s="29"/>
      <c r="AC15" s="29"/>
      <c r="AD15" s="29">
        <f>IF(A15="","",((VLOOKUP(A15,M_Productos[],4,FALSE) + X15)*U15))</f>
        <v>396000</v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P15" s="13"/>
    </row>
    <row r="16" spans="1:42" x14ac:dyDescent="0.3">
      <c r="A16" s="44" t="str">
        <f>IF(VLOOKUP($AK$5,m_facturas[],5,FALSE)="","",VLOOKUP($AK$5,m_facturas[],5,FALSE))</f>
        <v>AN102</v>
      </c>
      <c r="B16" s="45"/>
      <c r="C16" s="46"/>
      <c r="D16" s="30" t="str">
        <f>IF(A16="","",(VLOOKUP(A16,M_Productos[],2,FALSE)))</f>
        <v>MONITOR SAMSUMG 24" IPS</v>
      </c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44">
        <f>IF(VLOOKUP($AK$5,m_facturas[],18,FALSE)="","",VLOOKUP($AK$5,m_facturas[],18,FALSE))</f>
        <v>2</v>
      </c>
      <c r="V16" s="45"/>
      <c r="W16" s="46"/>
      <c r="X16" s="29">
        <f>IF(A16="","",(VLOOKUP(A16,M_Productos[],4,FALSE)*VLOOKUP($A16,M_Productos[],3,FALSE)*U16))</f>
        <v>75200</v>
      </c>
      <c r="Y16" s="29"/>
      <c r="Z16" s="29"/>
      <c r="AA16" s="29"/>
      <c r="AB16" s="29"/>
      <c r="AC16" s="29"/>
      <c r="AD16" s="59">
        <f>IF(A16="","",((VLOOKUP(A16,M_Productos[],4,FALSE) + X16)*U16))</f>
        <v>1090400</v>
      </c>
      <c r="AE16" s="60"/>
      <c r="AF16" s="60"/>
      <c r="AG16" s="60"/>
      <c r="AH16" s="60"/>
      <c r="AI16" s="60"/>
      <c r="AJ16" s="60"/>
      <c r="AK16" s="60"/>
      <c r="AL16" s="60"/>
      <c r="AM16" s="60"/>
      <c r="AN16" s="61"/>
      <c r="AP16" s="13"/>
    </row>
    <row r="17" spans="1:42" x14ac:dyDescent="0.3">
      <c r="A17" s="44" t="str">
        <f>IF(VLOOKUP($AK$5,m_facturas[],6,FALSE)="","",VLOOKUP($AK$5,m_facturas[],6,FALSE))</f>
        <v>AN103</v>
      </c>
      <c r="B17" s="45"/>
      <c r="C17" s="46"/>
      <c r="D17" s="30" t="str">
        <f>IF(A17="","",(VLOOKUP(A17,M_Productos[],2,FALSE)))</f>
        <v>DISCO DURO SSD 256GB LEXAR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44">
        <f>IF(VLOOKUP($AK$5,m_facturas[],19,FALSE)="","",VLOOKUP($AK$5,m_facturas[],19,FALSE))</f>
        <v>3</v>
      </c>
      <c r="V17" s="45"/>
      <c r="W17" s="46"/>
      <c r="X17" s="29">
        <f>IF(A17="","",(VLOOKUP(A17,M_Productos[],4,FALSE)*VLOOKUP($A17,M_Productos[],3,FALSE)*U17))</f>
        <v>75000</v>
      </c>
      <c r="Y17" s="29"/>
      <c r="Z17" s="29"/>
      <c r="AA17" s="29"/>
      <c r="AB17" s="29"/>
      <c r="AC17" s="29"/>
      <c r="AD17" s="59">
        <f>IF(A17="","",((VLOOKUP(A17,M_Productos[],4,FALSE) + X17)*U17))</f>
        <v>975000</v>
      </c>
      <c r="AE17" s="60"/>
      <c r="AF17" s="60"/>
      <c r="AG17" s="60"/>
      <c r="AH17" s="60"/>
      <c r="AI17" s="60"/>
      <c r="AJ17" s="60"/>
      <c r="AK17" s="60"/>
      <c r="AL17" s="60"/>
      <c r="AM17" s="60"/>
      <c r="AN17" s="61"/>
      <c r="AP17" s="13"/>
    </row>
    <row r="18" spans="1:42" x14ac:dyDescent="0.3">
      <c r="A18" s="44" t="str">
        <f>IF(VLOOKUP($AK$5,m_facturas[],7,FALSE)="","",VLOOKUP($AK$5,m_facturas[],7,FALSE))</f>
        <v>AN104</v>
      </c>
      <c r="B18" s="45"/>
      <c r="C18" s="46"/>
      <c r="D18" s="30" t="str">
        <f>IF(A18="","",(VLOOKUP(A18,M_Productos[],2,FALSE)))</f>
        <v>MOUSE LOGITEC G302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44">
        <f>IF(VLOOKUP($AK$5,m_facturas[],20,FALSE)="","",VLOOKUP($AK$5,m_facturas[],20,FALSE))</f>
        <v>4</v>
      </c>
      <c r="V18" s="45"/>
      <c r="W18" s="46"/>
      <c r="X18" s="29">
        <f>IF(A18="","",(VLOOKUP(A18,M_Productos[],4,FALSE)*VLOOKUP($A18,M_Productos[],3,FALSE)*U18))</f>
        <v>78000</v>
      </c>
      <c r="Y18" s="29"/>
      <c r="Z18" s="29"/>
      <c r="AA18" s="29"/>
      <c r="AB18" s="29"/>
      <c r="AC18" s="29"/>
      <c r="AD18" s="59">
        <f>IF(A18="","",((VLOOKUP(A18,M_Productos[],4,FALSE) + X18)*U18))</f>
        <v>832000</v>
      </c>
      <c r="AE18" s="60"/>
      <c r="AF18" s="60"/>
      <c r="AG18" s="60"/>
      <c r="AH18" s="60"/>
      <c r="AI18" s="60"/>
      <c r="AJ18" s="60"/>
      <c r="AK18" s="60"/>
      <c r="AL18" s="60"/>
      <c r="AM18" s="60"/>
      <c r="AN18" s="61"/>
      <c r="AP18" s="13"/>
    </row>
    <row r="19" spans="1:42" x14ac:dyDescent="0.3">
      <c r="A19" s="44" t="str">
        <f>IF(VLOOKUP($AK$5,m_facturas[],8,FALSE)="","",VLOOKUP($AK$5,m_facturas[],8,FALSE))</f>
        <v>AN105</v>
      </c>
      <c r="B19" s="45"/>
      <c r="C19" s="46"/>
      <c r="D19" s="30" t="str">
        <f>IF(A19="","",(VLOOKUP(A19,M_Productos[],2,FALSE)))</f>
        <v>DISCO DURO HDD 1TB DISCOVERY</v>
      </c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44">
        <f>IF(VLOOKUP($AK$5,m_facturas[],21,FALSE)="","",VLOOKUP($AK$5,m_facturas[],21,FALSE))</f>
        <v>5</v>
      </c>
      <c r="V19" s="45"/>
      <c r="W19" s="46"/>
      <c r="X19" s="29">
        <f>IF(A19="","",(VLOOKUP(A19,M_Productos[],4,FALSE)*VLOOKUP($A19,M_Productos[],3,FALSE)*U19))</f>
        <v>48000</v>
      </c>
      <c r="Y19" s="29"/>
      <c r="Z19" s="29"/>
      <c r="AA19" s="29"/>
      <c r="AB19" s="29"/>
      <c r="AC19" s="29"/>
      <c r="AD19" s="59">
        <f>IF(A19="","",((VLOOKUP(A19,M_Productos[],4,FALSE) + X19)*U19))</f>
        <v>1440000</v>
      </c>
      <c r="AE19" s="60"/>
      <c r="AF19" s="60"/>
      <c r="AG19" s="60"/>
      <c r="AH19" s="60"/>
      <c r="AI19" s="60"/>
      <c r="AJ19" s="60"/>
      <c r="AK19" s="60"/>
      <c r="AL19" s="60"/>
      <c r="AM19" s="60"/>
      <c r="AN19" s="61"/>
      <c r="AP19" s="13"/>
    </row>
    <row r="20" spans="1:42" x14ac:dyDescent="0.3">
      <c r="A20" s="44" t="str">
        <f>IF(VLOOKUP($AK$5,m_facturas[],9,FALSE)="","",VLOOKUP($AK$5,m_facturas[],9,FALSE))</f>
        <v>AN106</v>
      </c>
      <c r="B20" s="45"/>
      <c r="C20" s="46"/>
      <c r="D20" s="30" t="str">
        <f>IF(A20="","",(VLOOKUP(A20,M_Productos[],2,FALSE)))</f>
        <v>COMPUTADOR JANUS 8 GB RAM I5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44">
        <f>IF(VLOOKUP($AK$5,m_facturas[],22,FALSE)="","",VLOOKUP($AK$5,m_facturas[],22,FALSE))</f>
        <v>6</v>
      </c>
      <c r="V20" s="45"/>
      <c r="W20" s="46"/>
      <c r="X20" s="29">
        <f>IF(A20="","",(VLOOKUP(A20,M_Productos[],4,FALSE)*VLOOKUP($A20,M_Productos[],3,FALSE)*U20))</f>
        <v>1920000</v>
      </c>
      <c r="Y20" s="29"/>
      <c r="Z20" s="29"/>
      <c r="AA20" s="29"/>
      <c r="AB20" s="29"/>
      <c r="AC20" s="29"/>
      <c r="AD20" s="59">
        <f>IF(A20="","",((VLOOKUP(A20,M_Productos[],4,FALSE) + X20)*U20))</f>
        <v>23520000</v>
      </c>
      <c r="AE20" s="60"/>
      <c r="AF20" s="60"/>
      <c r="AG20" s="60"/>
      <c r="AH20" s="60"/>
      <c r="AI20" s="60"/>
      <c r="AJ20" s="60"/>
      <c r="AK20" s="60"/>
      <c r="AL20" s="60"/>
      <c r="AM20" s="60"/>
      <c r="AN20" s="61"/>
      <c r="AP20" s="13"/>
    </row>
    <row r="21" spans="1:42" x14ac:dyDescent="0.3">
      <c r="A21" s="44" t="str">
        <f>IF(VLOOKUP($AK$5,m_facturas[],10,FALSE)="","",VLOOKUP($AK$5,m_facturas[],10,FALSE))</f>
        <v>AN107</v>
      </c>
      <c r="B21" s="45"/>
      <c r="C21" s="46"/>
      <c r="D21" s="30" t="str">
        <f>IF(A21="","",(VLOOKUP(A21,M_Productos[],2,FALSE)))</f>
        <v>LAPTOP ASUS 16RAM I 5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44">
        <f>IF(VLOOKUP($AK$5,m_facturas[],23,FALSE)="","",VLOOKUP($AK$5,m_facturas[],23,FALSE))</f>
        <v>7</v>
      </c>
      <c r="V21" s="45"/>
      <c r="W21" s="46"/>
      <c r="X21" s="29">
        <f>IF(A21="","",(VLOOKUP(A21,M_Productos[],4,FALSE)*VLOOKUP($A21,M_Productos[],3,FALSE)*U21))</f>
        <v>350000</v>
      </c>
      <c r="Y21" s="29"/>
      <c r="Z21" s="29"/>
      <c r="AA21" s="29"/>
      <c r="AB21" s="29"/>
      <c r="AC21" s="29"/>
      <c r="AD21" s="59">
        <f>IF(A21="","",((VLOOKUP(A21,M_Productos[],4,FALSE) + X21)*U21))</f>
        <v>19950000</v>
      </c>
      <c r="AE21" s="60"/>
      <c r="AF21" s="60"/>
      <c r="AG21" s="60"/>
      <c r="AH21" s="60"/>
      <c r="AI21" s="60"/>
      <c r="AJ21" s="60"/>
      <c r="AK21" s="60"/>
      <c r="AL21" s="60"/>
      <c r="AM21" s="60"/>
      <c r="AN21" s="61"/>
      <c r="AP21" s="13"/>
    </row>
    <row r="22" spans="1:42" x14ac:dyDescent="0.3">
      <c r="A22" s="44" t="str">
        <f>IF(VLOOKUP($AK$5,m_facturas[],11,FALSE)="","",VLOOKUP($AK$5,m_facturas[],11,FALSE))</f>
        <v>AN108</v>
      </c>
      <c r="B22" s="45"/>
      <c r="C22" s="46"/>
      <c r="D22" s="30" t="str">
        <f>IF(A22="","",(VLOOKUP(A22,M_Productos[],2,FALSE)))</f>
        <v>CAMARA INFRARROJA</v>
      </c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44">
        <f>IF(VLOOKUP($AK$5,m_facturas[],24,FALSE)="","",VLOOKUP($AK$5,m_facturas[],24,FALSE))</f>
        <v>8</v>
      </c>
      <c r="V22" s="45"/>
      <c r="W22" s="46"/>
      <c r="X22" s="29">
        <f>IF(A22="","",(VLOOKUP(A22,M_Productos[],4,FALSE)*VLOOKUP($A22,M_Productos[],3,FALSE)*U22))</f>
        <v>57602.239999999998</v>
      </c>
      <c r="Y22" s="29"/>
      <c r="Z22" s="29"/>
      <c r="AA22" s="29"/>
      <c r="AB22" s="29"/>
      <c r="AC22" s="29"/>
      <c r="AD22" s="59">
        <f>IF(A22="","",((VLOOKUP(A22,M_Productos[],4,FALSE) + X22)*U22))</f>
        <v>1900873.92</v>
      </c>
      <c r="AE22" s="60"/>
      <c r="AF22" s="60"/>
      <c r="AG22" s="60"/>
      <c r="AH22" s="60"/>
      <c r="AI22" s="60"/>
      <c r="AJ22" s="60"/>
      <c r="AK22" s="60"/>
      <c r="AL22" s="60"/>
      <c r="AM22" s="60"/>
      <c r="AN22" s="61"/>
      <c r="AP22" s="13"/>
    </row>
    <row r="23" spans="1:42" x14ac:dyDescent="0.3">
      <c r="A23" s="44" t="str">
        <f>IF(VLOOKUP($AK$5,m_facturas[],12,FALSE)="","",VLOOKUP($AK$5,m_facturas[],12,FALSE))</f>
        <v>AN109</v>
      </c>
      <c r="B23" s="45"/>
      <c r="C23" s="46"/>
      <c r="D23" s="30" t="str">
        <f>IF(A23="","",(VLOOKUP(A23,M_Productos[],2,FALSE)))</f>
        <v>TELEVISOR SAMSUMG 30"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44">
        <f>IF(VLOOKUP($AK$5,m_facturas[],25,FALSE)="","",VLOOKUP($AK$5,m_facturas[],25,FALSE))</f>
        <v>9</v>
      </c>
      <c r="V23" s="45"/>
      <c r="W23" s="46"/>
      <c r="X23" s="29">
        <f>IF(A23="","",(VLOOKUP(A23,M_Productos[],4,FALSE)*VLOOKUP($A23,M_Productos[],3,FALSE)*U23))</f>
        <v>288000</v>
      </c>
      <c r="Y23" s="29"/>
      <c r="Z23" s="29"/>
      <c r="AA23" s="29"/>
      <c r="AB23" s="29"/>
      <c r="AC23" s="29"/>
      <c r="AD23" s="59">
        <f>IF(A23="","",((VLOOKUP(A23,M_Productos[],4,FALSE) + X23)*U23))</f>
        <v>6192000</v>
      </c>
      <c r="AE23" s="60"/>
      <c r="AF23" s="60"/>
      <c r="AG23" s="60"/>
      <c r="AH23" s="60"/>
      <c r="AI23" s="60"/>
      <c r="AJ23" s="60"/>
      <c r="AK23" s="60"/>
      <c r="AL23" s="60"/>
      <c r="AM23" s="60"/>
      <c r="AN23" s="61"/>
      <c r="AP23" s="13"/>
    </row>
    <row r="24" spans="1:42" x14ac:dyDescent="0.3">
      <c r="A24" s="44" t="str">
        <f>IF(VLOOKUP($AK$5,m_facturas[],13,FALSE)="","",VLOOKUP($AK$5,m_facturas[],13,FALSE))</f>
        <v>AN110</v>
      </c>
      <c r="B24" s="45"/>
      <c r="C24" s="46"/>
      <c r="D24" s="30" t="str">
        <f>IF(A24="","",(VLOOKUP(A24,M_Productos[],2,FALSE)))</f>
        <v xml:space="preserve">MEMORIA RAM 8GB APPDATA 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44">
        <f>IF(VLOOKUP($AK$5,m_facturas[],26,FALSE)="","",VLOOKUP($AK$5,m_facturas[],26,FALSE))</f>
        <v>10</v>
      </c>
      <c r="V24" s="45"/>
      <c r="W24" s="46"/>
      <c r="X24" s="29">
        <f>IF(A24="","",(VLOOKUP(A24,M_Productos[],4,FALSE)*VLOOKUP($A24,M_Productos[],3,FALSE)*U24))</f>
        <v>48000</v>
      </c>
      <c r="Y24" s="29"/>
      <c r="Z24" s="29"/>
      <c r="AA24" s="29"/>
      <c r="AB24" s="29"/>
      <c r="AC24" s="29"/>
      <c r="AD24" s="59">
        <f>IF(A24="","",((VLOOKUP(A24,M_Productos[],4,FALSE) + X24)*U24))</f>
        <v>1680000</v>
      </c>
      <c r="AE24" s="60"/>
      <c r="AF24" s="60"/>
      <c r="AG24" s="60"/>
      <c r="AH24" s="60"/>
      <c r="AI24" s="60"/>
      <c r="AJ24" s="60"/>
      <c r="AK24" s="60"/>
      <c r="AL24" s="60"/>
      <c r="AM24" s="60"/>
      <c r="AN24" s="61"/>
      <c r="AP24" s="13"/>
    </row>
    <row r="25" spans="1:42" x14ac:dyDescent="0.3">
      <c r="A25" s="44" t="str">
        <f>IF(VLOOKUP($AK$5,m_facturas[],14,FALSE)="","",VLOOKUP($AK$5,m_facturas[],14,FALSE))</f>
        <v>AN111</v>
      </c>
      <c r="B25" s="45"/>
      <c r="C25" s="46"/>
      <c r="D25" s="30" t="str">
        <f>IF(A25="","",(VLOOKUP(A25,M_Productos[],2,FALSE)))</f>
        <v>TECLADO RED DRAGON VEGINER</v>
      </c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44">
        <f>IF(VLOOKUP($AK$5,m_facturas[],27,FALSE)="","",VLOOKUP($AK$5,m_facturas[],27,FALSE))</f>
        <v>11</v>
      </c>
      <c r="V25" s="45"/>
      <c r="W25" s="46"/>
      <c r="X25" s="29">
        <f>IF(A25="","",(VLOOKUP(A25,M_Productos[],4,FALSE)*VLOOKUP($A25,M_Productos[],3,FALSE)*U25))</f>
        <v>242000</v>
      </c>
      <c r="Y25" s="29"/>
      <c r="Z25" s="29"/>
      <c r="AA25" s="29"/>
      <c r="AB25" s="29"/>
      <c r="AC25" s="29"/>
      <c r="AD25" s="59">
        <f>IF(A25="","",((VLOOKUP(A25,M_Productos[],4,FALSE) + X25)*U25))</f>
        <v>4862000</v>
      </c>
      <c r="AE25" s="60"/>
      <c r="AF25" s="60"/>
      <c r="AG25" s="60"/>
      <c r="AH25" s="60"/>
      <c r="AI25" s="60"/>
      <c r="AJ25" s="60"/>
      <c r="AK25" s="60"/>
      <c r="AL25" s="60"/>
      <c r="AM25" s="60"/>
      <c r="AN25" s="61"/>
      <c r="AP25" s="13"/>
    </row>
    <row r="26" spans="1:42" x14ac:dyDescent="0.3">
      <c r="A26" s="44" t="str">
        <f>IF(VLOOKUP($AK$5,m_facturas[],15,FALSE)="","",VLOOKUP($AK$5,m_facturas[],15,FALSE))</f>
        <v>AN112</v>
      </c>
      <c r="B26" s="45"/>
      <c r="C26" s="46"/>
      <c r="D26" s="30" t="str">
        <f>IF(A26="","",(VLOOKUP(A26,M_Productos[],2,FALSE)))</f>
        <v xml:space="preserve">PROYECTOR 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44">
        <f>IF(VLOOKUP($AK$5,m_facturas[],28,FALSE)="","",VLOOKUP($AK$5,m_facturas[],28,FALSE))</f>
        <v>12</v>
      </c>
      <c r="V26" s="45"/>
      <c r="W26" s="46"/>
      <c r="X26" s="29">
        <f>IF(A26="","",(VLOOKUP(A26,M_Productos[],4,FALSE)*VLOOKUP($A26,M_Productos[],3,FALSE)*U26))</f>
        <v>720000</v>
      </c>
      <c r="Y26" s="29"/>
      <c r="Z26" s="29"/>
      <c r="AA26" s="29"/>
      <c r="AB26" s="29"/>
      <c r="AC26" s="29"/>
      <c r="AD26" s="59">
        <f>IF(A26="","",((VLOOKUP(A26,M_Productos[],4,FALSE) + X26)*U26))</f>
        <v>14640000</v>
      </c>
      <c r="AE26" s="60"/>
      <c r="AF26" s="60"/>
      <c r="AG26" s="60"/>
      <c r="AH26" s="60"/>
      <c r="AI26" s="60"/>
      <c r="AJ26" s="60"/>
      <c r="AK26" s="60"/>
      <c r="AL26" s="60"/>
      <c r="AM26" s="60"/>
      <c r="AN26" s="61"/>
      <c r="AP26" s="13"/>
    </row>
    <row r="27" spans="1:42" x14ac:dyDescent="0.3">
      <c r="A27" s="44" t="str">
        <f>IF(VLOOKUP($AK$5,m_facturas[],16,FALSE)="","",VLOOKUP($AK$5,m_facturas[],16,FALSE))</f>
        <v>AN113</v>
      </c>
      <c r="B27" s="45"/>
      <c r="C27" s="46"/>
      <c r="D27" s="30" t="str">
        <f>IF(A27="","",(VLOOKUP(A27,M_Productos[],2,FALSE)))</f>
        <v>MONITOR JANUS 23 " IPS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44">
        <f>IF(VLOOKUP($AK$5,m_facturas[],29,FALSE)="","",VLOOKUP($AK$5,m_facturas[],29,FALSE))</f>
        <v>13</v>
      </c>
      <c r="V27" s="45"/>
      <c r="W27" s="46"/>
      <c r="X27" s="29">
        <f>IF(A27="","",(VLOOKUP(A27,M_Productos[],4,FALSE)*VLOOKUP($A27,M_Productos[],3,FALSE)*U27))</f>
        <v>591500</v>
      </c>
      <c r="Y27" s="29"/>
      <c r="Z27" s="29"/>
      <c r="AA27" s="29"/>
      <c r="AB27" s="29"/>
      <c r="AC27" s="29"/>
      <c r="AD27" s="59">
        <f>IF(A27="","",((VLOOKUP(A27,M_Productos[],4,FALSE) + X27)*U27))</f>
        <v>12239500</v>
      </c>
      <c r="AE27" s="60"/>
      <c r="AF27" s="60"/>
      <c r="AG27" s="60"/>
      <c r="AH27" s="60"/>
      <c r="AI27" s="60"/>
      <c r="AJ27" s="60"/>
      <c r="AK27" s="60"/>
      <c r="AL27" s="60"/>
      <c r="AM27" s="60"/>
      <c r="AN27" s="61"/>
      <c r="AP27" s="13"/>
    </row>
    <row r="28" spans="1:42" ht="20.25" customHeight="1" x14ac:dyDescent="0.3">
      <c r="A28" s="26" t="s">
        <v>21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7">
        <f>SUM(AD15:AN27)- SUM(X15:AC27)</f>
        <v>85206471.680000007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</row>
    <row r="29" spans="1:42" ht="18" customHeight="1" x14ac:dyDescent="0.3">
      <c r="A29" s="26" t="s">
        <v>22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7">
        <f>SUM(X15:AC27)</f>
        <v>4511302.24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</row>
    <row r="30" spans="1:42" ht="21" customHeight="1" x14ac:dyDescent="0.3">
      <c r="A30" s="26" t="s">
        <v>23</v>
      </c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8">
        <f>SUM(AD28:AN29)</f>
        <v>89717773.920000002</v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</row>
    <row r="31" spans="1:42" ht="18" customHeight="1" x14ac:dyDescent="0.3">
      <c r="A31" s="26" t="s">
        <v>65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7">
        <f>IF(AD28&lt;1000000,+AD28-AD30*2%,IF(AD28&lt;5000000,+AD28-AD30*5%,IF(AD28&lt;10000000,+AD28-AD30*10%,IF(AD28&lt;30000000,+AD28-AD30*15%,IF(AD28&gt;30000000,+AD28-AD30*20%)))))</f>
        <v>67262916.895999998</v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</row>
    <row r="34" spans="2:5" x14ac:dyDescent="0.3">
      <c r="B34" s="40"/>
      <c r="C34" s="40"/>
      <c r="D34" s="40"/>
      <c r="E34" s="40"/>
    </row>
    <row r="35" spans="2:5" x14ac:dyDescent="0.3">
      <c r="B35" s="40"/>
      <c r="C35" s="40"/>
      <c r="D35" s="40"/>
      <c r="E35" s="40"/>
    </row>
  </sheetData>
  <sheetProtection sheet="1" objects="1" scenarios="1" selectLockedCells="1" selectUnlockedCell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1">
    <dataValidation type="list" allowBlank="1" showInputMessage="1" showErrorMessage="1" sqref="AK5:AM5" xr:uid="{E9455CFF-62DA-4493-A553-71BD8E860967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39"/>
  <sheetViews>
    <sheetView zoomScaleNormal="100" workbookViewId="0">
      <selection activeCell="K16" sqref="K16"/>
    </sheetView>
  </sheetViews>
  <sheetFormatPr baseColWidth="10" defaultColWidth="3" defaultRowHeight="14.4" x14ac:dyDescent="0.3"/>
  <cols>
    <col min="5" max="5" width="8.88671875" bestFit="1" customWidth="1"/>
    <col min="6" max="6" width="16.109375" bestFit="1" customWidth="1"/>
    <col min="7" max="7" width="8.33203125" bestFit="1" customWidth="1"/>
    <col min="8" max="33" width="6.44140625" bestFit="1" customWidth="1"/>
    <col min="34" max="45" width="6.44140625" customWidth="1"/>
  </cols>
  <sheetData>
    <row r="1" spans="5:33" x14ac:dyDescent="0.3">
      <c r="E1" s="15">
        <v>1</v>
      </c>
      <c r="F1" s="15">
        <v>2</v>
      </c>
      <c r="G1" s="15">
        <v>3</v>
      </c>
      <c r="H1" s="15">
        <v>4</v>
      </c>
      <c r="I1" s="15">
        <v>5</v>
      </c>
      <c r="J1" s="15">
        <v>6</v>
      </c>
      <c r="K1" s="15">
        <v>7</v>
      </c>
      <c r="L1" s="15">
        <v>8</v>
      </c>
      <c r="M1" s="15">
        <v>9</v>
      </c>
      <c r="N1" s="15">
        <v>10</v>
      </c>
      <c r="O1" s="15">
        <v>11</v>
      </c>
      <c r="P1" s="15">
        <v>12</v>
      </c>
      <c r="Q1" s="15">
        <v>13</v>
      </c>
      <c r="R1" s="15">
        <v>14</v>
      </c>
      <c r="S1" s="15">
        <v>15</v>
      </c>
      <c r="T1" s="15">
        <v>16</v>
      </c>
      <c r="U1" s="15">
        <v>17</v>
      </c>
      <c r="V1" s="15">
        <v>18</v>
      </c>
      <c r="W1" s="15">
        <v>19</v>
      </c>
      <c r="X1" s="15">
        <v>20</v>
      </c>
      <c r="Y1" s="15">
        <v>21</v>
      </c>
      <c r="Z1" s="15">
        <v>22</v>
      </c>
      <c r="AA1" s="15">
        <v>23</v>
      </c>
      <c r="AB1" s="15">
        <v>24</v>
      </c>
      <c r="AC1" s="15">
        <v>25</v>
      </c>
      <c r="AD1" s="15">
        <v>26</v>
      </c>
      <c r="AE1" s="15">
        <v>27</v>
      </c>
      <c r="AF1" s="15">
        <v>28</v>
      </c>
      <c r="AG1" s="15">
        <v>29</v>
      </c>
    </row>
    <row r="2" spans="5:33" x14ac:dyDescent="0.3">
      <c r="E2" s="21" t="s">
        <v>68</v>
      </c>
      <c r="F2" s="17" t="s">
        <v>24</v>
      </c>
      <c r="G2" s="17" t="s">
        <v>66</v>
      </c>
      <c r="H2" s="22" t="s">
        <v>69</v>
      </c>
      <c r="I2" s="22" t="s">
        <v>70</v>
      </c>
      <c r="J2" s="22" t="s">
        <v>71</v>
      </c>
      <c r="K2" s="22" t="s">
        <v>72</v>
      </c>
      <c r="L2" s="22" t="s">
        <v>73</v>
      </c>
      <c r="M2" s="22" t="s">
        <v>74</v>
      </c>
      <c r="N2" s="22" t="s">
        <v>75</v>
      </c>
      <c r="O2" s="22" t="s">
        <v>76</v>
      </c>
      <c r="P2" s="22" t="s">
        <v>77</v>
      </c>
      <c r="Q2" s="22" t="s">
        <v>78</v>
      </c>
      <c r="R2" s="22" t="s">
        <v>79</v>
      </c>
      <c r="S2" s="22" t="s">
        <v>80</v>
      </c>
      <c r="T2" s="22" t="s">
        <v>81</v>
      </c>
      <c r="U2" s="22" t="s">
        <v>82</v>
      </c>
      <c r="V2" s="22" t="s">
        <v>83</v>
      </c>
      <c r="W2" s="22" t="s">
        <v>84</v>
      </c>
      <c r="X2" s="22" t="s">
        <v>85</v>
      </c>
      <c r="Y2" s="22" t="s">
        <v>86</v>
      </c>
      <c r="Z2" s="22" t="s">
        <v>87</v>
      </c>
      <c r="AA2" s="22" t="s">
        <v>88</v>
      </c>
      <c r="AB2" s="22" t="s">
        <v>89</v>
      </c>
      <c r="AC2" s="22" t="s">
        <v>90</v>
      </c>
      <c r="AD2" s="22" t="s">
        <v>91</v>
      </c>
      <c r="AE2" s="22" t="s">
        <v>92</v>
      </c>
      <c r="AF2" s="22" t="s">
        <v>93</v>
      </c>
      <c r="AG2" s="22" t="s">
        <v>94</v>
      </c>
    </row>
    <row r="3" spans="5:33" x14ac:dyDescent="0.3">
      <c r="E3" s="20">
        <v>3</v>
      </c>
      <c r="F3" s="16" t="s">
        <v>28</v>
      </c>
      <c r="G3" s="18">
        <v>44783</v>
      </c>
      <c r="H3" s="19" t="s">
        <v>46</v>
      </c>
      <c r="I3" s="19" t="s">
        <v>17</v>
      </c>
      <c r="J3" s="19" t="s">
        <v>13</v>
      </c>
      <c r="K3" s="19" t="s">
        <v>15</v>
      </c>
      <c r="L3" s="19" t="s">
        <v>18</v>
      </c>
      <c r="M3" s="19" t="s">
        <v>19</v>
      </c>
      <c r="N3" s="19" t="s">
        <v>53</v>
      </c>
      <c r="O3" s="19" t="s">
        <v>55</v>
      </c>
      <c r="P3" s="19" t="s">
        <v>57</v>
      </c>
      <c r="Q3" s="19" t="s">
        <v>14</v>
      </c>
      <c r="R3" s="19" t="s">
        <v>20</v>
      </c>
      <c r="S3" s="19" t="s">
        <v>61</v>
      </c>
      <c r="T3" s="19" t="s">
        <v>16</v>
      </c>
      <c r="U3" s="19">
        <v>1</v>
      </c>
      <c r="V3" s="19">
        <v>2</v>
      </c>
      <c r="W3" s="19">
        <v>3</v>
      </c>
      <c r="X3" s="19">
        <v>4</v>
      </c>
      <c r="Y3" s="19">
        <v>5</v>
      </c>
      <c r="Z3" s="19">
        <v>6</v>
      </c>
      <c r="AA3" s="19">
        <v>7</v>
      </c>
      <c r="AB3" s="19">
        <v>8</v>
      </c>
      <c r="AC3" s="19">
        <v>9</v>
      </c>
      <c r="AD3" s="19">
        <v>10</v>
      </c>
      <c r="AE3" s="19">
        <v>11</v>
      </c>
      <c r="AF3" s="19">
        <v>12</v>
      </c>
      <c r="AG3" s="19">
        <v>13</v>
      </c>
    </row>
    <row r="4" spans="5:33" x14ac:dyDescent="0.3">
      <c r="E4" s="20">
        <v>2</v>
      </c>
      <c r="F4" s="16" t="s">
        <v>31</v>
      </c>
      <c r="G4" s="18">
        <v>44783</v>
      </c>
      <c r="H4" s="19" t="s">
        <v>46</v>
      </c>
      <c r="I4" s="19" t="s">
        <v>17</v>
      </c>
      <c r="J4" s="19" t="s">
        <v>13</v>
      </c>
      <c r="K4" s="19" t="s">
        <v>15</v>
      </c>
      <c r="L4" s="19" t="s">
        <v>18</v>
      </c>
      <c r="M4" s="19" t="s">
        <v>19</v>
      </c>
      <c r="N4" s="19" t="s">
        <v>53</v>
      </c>
      <c r="O4" s="19" t="s">
        <v>55</v>
      </c>
      <c r="P4" s="19" t="s">
        <v>57</v>
      </c>
      <c r="Q4" s="19" t="s">
        <v>14</v>
      </c>
      <c r="R4" s="19"/>
      <c r="S4" s="19"/>
      <c r="T4" s="19"/>
      <c r="U4" s="19">
        <v>1</v>
      </c>
      <c r="V4" s="19">
        <v>2</v>
      </c>
      <c r="W4" s="19">
        <v>3</v>
      </c>
      <c r="X4" s="19">
        <v>4</v>
      </c>
      <c r="Y4" s="19">
        <v>5</v>
      </c>
      <c r="Z4" s="19">
        <v>6</v>
      </c>
      <c r="AA4" s="19">
        <v>7</v>
      </c>
      <c r="AB4" s="19">
        <v>8</v>
      </c>
      <c r="AC4" s="19">
        <v>1</v>
      </c>
      <c r="AD4" s="19">
        <v>1</v>
      </c>
      <c r="AE4" s="19"/>
      <c r="AF4" s="19"/>
      <c r="AG4" s="19"/>
    </row>
    <row r="5" spans="5:33" x14ac:dyDescent="0.3">
      <c r="E5" s="20">
        <v>1</v>
      </c>
      <c r="F5" s="16" t="s">
        <v>37</v>
      </c>
      <c r="G5" s="18">
        <v>44783</v>
      </c>
      <c r="H5" s="19"/>
      <c r="I5" s="19" t="s">
        <v>15</v>
      </c>
      <c r="J5" s="19" t="s">
        <v>18</v>
      </c>
      <c r="K5" s="19" t="s">
        <v>19</v>
      </c>
      <c r="L5" s="19" t="s">
        <v>53</v>
      </c>
      <c r="M5" s="19" t="s">
        <v>55</v>
      </c>
      <c r="N5" s="19" t="s">
        <v>57</v>
      </c>
      <c r="O5" s="19" t="s">
        <v>14</v>
      </c>
      <c r="P5" s="19" t="s">
        <v>20</v>
      </c>
      <c r="Q5" s="19" t="s">
        <v>61</v>
      </c>
      <c r="R5" s="19" t="s">
        <v>16</v>
      </c>
      <c r="S5" s="19" t="s">
        <v>95</v>
      </c>
      <c r="T5" s="19" t="s">
        <v>96</v>
      </c>
      <c r="U5" s="19" t="s">
        <v>97</v>
      </c>
      <c r="V5" s="19"/>
      <c r="W5" s="19">
        <v>1</v>
      </c>
      <c r="X5" s="19">
        <v>1</v>
      </c>
      <c r="Y5" s="19">
        <v>1</v>
      </c>
      <c r="Z5" s="19">
        <v>1</v>
      </c>
      <c r="AA5" s="19">
        <v>1</v>
      </c>
      <c r="AB5" s="19">
        <v>1</v>
      </c>
      <c r="AC5" s="19">
        <v>1</v>
      </c>
      <c r="AD5" s="19">
        <v>1</v>
      </c>
      <c r="AE5" s="19">
        <v>1</v>
      </c>
      <c r="AF5" s="19">
        <v>1</v>
      </c>
      <c r="AG5" s="19">
        <v>1</v>
      </c>
    </row>
    <row r="6" spans="5:33" x14ac:dyDescent="0.3">
      <c r="E6" s="20">
        <v>0</v>
      </c>
      <c r="F6" s="16" t="s">
        <v>37</v>
      </c>
      <c r="G6" s="18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13" spans="5:33" x14ac:dyDescent="0.3">
      <c r="F13" s="12"/>
    </row>
    <row r="38" spans="5:5" x14ac:dyDescent="0.3">
      <c r="E38" s="12"/>
    </row>
    <row r="39" spans="5:5" x14ac:dyDescent="0.3">
      <c r="E39" s="12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5.109375" customWidth="1"/>
    <col min="5" max="5" width="17.33203125" bestFit="1" customWidth="1"/>
  </cols>
  <sheetData>
    <row r="4" spans="2:5" x14ac:dyDescent="0.3">
      <c r="B4" s="51" t="s">
        <v>24</v>
      </c>
      <c r="C4" s="52" t="s">
        <v>25</v>
      </c>
      <c r="D4" s="52" t="s">
        <v>26</v>
      </c>
      <c r="E4" s="53" t="s">
        <v>27</v>
      </c>
    </row>
    <row r="5" spans="2:5" x14ac:dyDescent="0.3">
      <c r="B5" s="49" t="s">
        <v>28</v>
      </c>
      <c r="C5" s="8">
        <v>1025461380</v>
      </c>
      <c r="D5" s="4" t="s">
        <v>29</v>
      </c>
      <c r="E5" s="50" t="s">
        <v>30</v>
      </c>
    </row>
    <row r="6" spans="2:5" x14ac:dyDescent="0.3">
      <c r="B6" s="49" t="s">
        <v>31</v>
      </c>
      <c r="C6" s="8">
        <v>1098926370</v>
      </c>
      <c r="D6" s="4" t="s">
        <v>32</v>
      </c>
      <c r="E6" s="50" t="s">
        <v>33</v>
      </c>
    </row>
    <row r="7" spans="2:5" x14ac:dyDescent="0.3">
      <c r="B7" s="49" t="s">
        <v>34</v>
      </c>
      <c r="C7" s="8">
        <v>5227080</v>
      </c>
      <c r="D7" s="4" t="s">
        <v>35</v>
      </c>
      <c r="E7" s="50" t="s">
        <v>36</v>
      </c>
    </row>
    <row r="8" spans="2:5" x14ac:dyDescent="0.3">
      <c r="B8" s="49" t="s">
        <v>37</v>
      </c>
      <c r="C8" s="8">
        <v>8935048</v>
      </c>
      <c r="D8" s="4" t="s">
        <v>38</v>
      </c>
      <c r="E8" s="50" t="s">
        <v>39</v>
      </c>
    </row>
    <row r="9" spans="2:5" x14ac:dyDescent="0.3">
      <c r="B9" s="49" t="s">
        <v>40</v>
      </c>
      <c r="C9" s="8">
        <v>10093674</v>
      </c>
      <c r="D9" s="4" t="s">
        <v>41</v>
      </c>
      <c r="E9" s="50" t="s">
        <v>42</v>
      </c>
    </row>
    <row r="10" spans="2:5" x14ac:dyDescent="0.3">
      <c r="B10" s="48" t="s">
        <v>4</v>
      </c>
      <c r="C10" s="54">
        <v>1000554334</v>
      </c>
      <c r="D10" s="55" t="s">
        <v>43</v>
      </c>
      <c r="E10" s="47" t="s">
        <v>44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51" t="s">
        <v>8</v>
      </c>
      <c r="C4" s="56" t="s">
        <v>45</v>
      </c>
      <c r="D4" s="52" t="s">
        <v>11</v>
      </c>
      <c r="E4" s="56" t="s">
        <v>12</v>
      </c>
    </row>
    <row r="5" spans="2:5" x14ac:dyDescent="0.3">
      <c r="B5" s="49" t="s">
        <v>46</v>
      </c>
      <c r="C5" s="4" t="s">
        <v>47</v>
      </c>
      <c r="D5" s="5">
        <v>0.05</v>
      </c>
      <c r="E5" s="6">
        <v>180000</v>
      </c>
    </row>
    <row r="6" spans="2:5" x14ac:dyDescent="0.3">
      <c r="B6" s="49" t="s">
        <v>17</v>
      </c>
      <c r="C6" s="4" t="s">
        <v>48</v>
      </c>
      <c r="D6" s="5">
        <v>0.08</v>
      </c>
      <c r="E6" s="6">
        <v>470000</v>
      </c>
    </row>
    <row r="7" spans="2:5" x14ac:dyDescent="0.3">
      <c r="B7" s="49" t="s">
        <v>13</v>
      </c>
      <c r="C7" s="4" t="s">
        <v>49</v>
      </c>
      <c r="D7" s="5">
        <v>0.1</v>
      </c>
      <c r="E7" s="6">
        <v>250000</v>
      </c>
    </row>
    <row r="8" spans="2:5" x14ac:dyDescent="0.3">
      <c r="B8" s="49" t="s">
        <v>15</v>
      </c>
      <c r="C8" s="4" t="s">
        <v>50</v>
      </c>
      <c r="D8" s="5">
        <v>0.15</v>
      </c>
      <c r="E8" s="6">
        <v>130000</v>
      </c>
    </row>
    <row r="9" spans="2:5" x14ac:dyDescent="0.3">
      <c r="B9" s="49" t="s">
        <v>18</v>
      </c>
      <c r="C9" s="4" t="s">
        <v>51</v>
      </c>
      <c r="D9" s="5">
        <v>0.04</v>
      </c>
      <c r="E9" s="6">
        <v>240000</v>
      </c>
    </row>
    <row r="10" spans="2:5" x14ac:dyDescent="0.3">
      <c r="B10" s="49" t="s">
        <v>19</v>
      </c>
      <c r="C10" s="4" t="s">
        <v>52</v>
      </c>
      <c r="D10" s="5">
        <v>0.16</v>
      </c>
      <c r="E10" s="6">
        <v>2000000</v>
      </c>
    </row>
    <row r="11" spans="2:5" x14ac:dyDescent="0.3">
      <c r="B11" s="49" t="s">
        <v>53</v>
      </c>
      <c r="C11" s="4" t="s">
        <v>54</v>
      </c>
      <c r="D11" s="5">
        <v>0.02</v>
      </c>
      <c r="E11" s="6">
        <v>2500000</v>
      </c>
    </row>
    <row r="12" spans="2:5" x14ac:dyDescent="0.3">
      <c r="B12" s="49" t="s">
        <v>55</v>
      </c>
      <c r="C12" s="4" t="s">
        <v>56</v>
      </c>
      <c r="D12" s="5">
        <v>0.04</v>
      </c>
      <c r="E12" s="6">
        <v>180007</v>
      </c>
    </row>
    <row r="13" spans="2:5" x14ac:dyDescent="0.3">
      <c r="B13" s="49" t="s">
        <v>57</v>
      </c>
      <c r="C13" s="4" t="s">
        <v>58</v>
      </c>
      <c r="D13" s="5">
        <v>0.08</v>
      </c>
      <c r="E13" s="6">
        <v>400000</v>
      </c>
    </row>
    <row r="14" spans="2:5" x14ac:dyDescent="0.3">
      <c r="B14" s="49" t="s">
        <v>14</v>
      </c>
      <c r="C14" s="4" t="s">
        <v>59</v>
      </c>
      <c r="D14" s="5">
        <v>0.04</v>
      </c>
      <c r="E14" s="6">
        <v>120000</v>
      </c>
    </row>
    <row r="15" spans="2:5" x14ac:dyDescent="0.3">
      <c r="B15" s="49" t="s">
        <v>20</v>
      </c>
      <c r="C15" s="4" t="s">
        <v>60</v>
      </c>
      <c r="D15" s="5">
        <v>0.11</v>
      </c>
      <c r="E15" s="6">
        <v>200000</v>
      </c>
    </row>
    <row r="16" spans="2:5" x14ac:dyDescent="0.3">
      <c r="B16" s="49" t="s">
        <v>61</v>
      </c>
      <c r="C16" s="4" t="s">
        <v>62</v>
      </c>
      <c r="D16" s="5">
        <v>0.12</v>
      </c>
      <c r="E16" s="6">
        <v>500000</v>
      </c>
    </row>
    <row r="17" spans="2:9" x14ac:dyDescent="0.3">
      <c r="B17" s="49" t="s">
        <v>16</v>
      </c>
      <c r="C17" s="4" t="s">
        <v>63</v>
      </c>
      <c r="D17" s="5">
        <v>0.13</v>
      </c>
      <c r="E17" s="6">
        <v>350000</v>
      </c>
    </row>
    <row r="18" spans="2:9" x14ac:dyDescent="0.3">
      <c r="B18" s="49" t="s">
        <v>95</v>
      </c>
      <c r="C18" s="4" t="s">
        <v>63</v>
      </c>
      <c r="D18" s="5">
        <v>1.1299999999999999</v>
      </c>
      <c r="E18" s="6">
        <v>350001</v>
      </c>
    </row>
    <row r="19" spans="2:9" x14ac:dyDescent="0.3">
      <c r="B19" s="48" t="s">
        <v>96</v>
      </c>
      <c r="C19" s="55" t="s">
        <v>63</v>
      </c>
      <c r="D19" s="57">
        <v>2.13</v>
      </c>
      <c r="E19" s="58">
        <v>350002</v>
      </c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2022-08-11T04:15:02Z</dcterms:modified>
  <cp:category/>
  <cp:contentStatus/>
</cp:coreProperties>
</file>
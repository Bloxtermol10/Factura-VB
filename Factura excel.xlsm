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35" documentId="13_ncr:1_{C374DD79-F7C2-4689-94F5-64120680C989}" xr6:coauthVersionLast="47" xr6:coauthVersionMax="47" xr10:uidLastSave="{DBDCA9E4-EC3A-45F7-A49D-69E2D116F05E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FACTURAS!$E$3:$E$6</definedName>
    <definedName name="_xlnm._FilterDatabase" localSheetId="0" hidden="1">NUEVA!$D$15:$T$27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7" i="10" l="1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2" i="2"/>
  <c r="D23" i="2"/>
  <c r="D24" i="2"/>
  <c r="D25" i="2"/>
  <c r="D26" i="2"/>
  <c r="D15" i="2"/>
  <c r="AK2" i="10"/>
  <c r="AK2" i="2"/>
  <c r="D25" i="10" l="1"/>
  <c r="U17" i="10"/>
  <c r="U21" i="10"/>
  <c r="X17" i="10"/>
  <c r="AD17" i="10" s="1"/>
  <c r="X21" i="10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<sst xmlns="http://schemas.openxmlformats.org/spreadsheetml/2006/main" count="132" uniqueCount="99">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</sst>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3" borderId="16" xfId="0" applyNumberFormat="1" applyFill="1" applyBorder="1"/>
    <xf numFmtId="165" fontId="0" fillId="0" borderId="17" xfId="0" applyNumberFormat="1" applyBorder="1"/>
    <xf numFmtId="0" fontId="0" fillId="0" borderId="15" xfId="0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6" totalsRowShown="0" headerRowDxfId="47" dataDxfId="46" tableBorderDxfId="45">
  <autoFilter ref="E2:AG6" xr:uid="{0CD457BA-9725-4E16-BBBC-4B55AB6B05BA}"/>
  <sortState xmlns:xlrd2="http://schemas.microsoft.com/office/spreadsheetml/2017/richdata2" ref="E3:AG6">
    <sortCondition descending="1" ref="E2:E6"/>
  </sortState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D20" sqref="D20:T20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2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4</v>
      </c>
      <c r="AL5" s="45"/>
      <c r="AM5" s="45"/>
      <c r="AN5" s="3"/>
    </row>
    <row r="6" spans="1:42" x14ac:dyDescent="0.25">
      <c r="A6" s="41"/>
      <c r="B6" s="42"/>
      <c r="C6" s="42"/>
      <c r="D6" s="42"/>
      <c r="E6" s="4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48" t="s">
        <v>5</v>
      </c>
      <c r="G9" s="48"/>
      <c r="H9" s="48"/>
      <c r="I9" s="48"/>
      <c r="J9" s="48"/>
      <c r="K9" s="48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  <c r="AO10" t="s">
        <v>7</v>
      </c>
    </row>
    <row r="11" spans="1:42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IF(P11="","",VLOOKUP(P9,M_Empleados[],4,FALSE))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25">
      <c r="A13" s="2"/>
      <c r="AN13" s="3"/>
    </row>
    <row r="14" spans="1:42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25">
      <c r="A15" s="37"/>
      <c r="B15" s="37"/>
      <c r="C15" s="37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29"/>
      <c r="V15" s="30"/>
      <c r="W15" s="31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25">
      <c r="A16" s="37"/>
      <c r="B16" s="37"/>
      <c r="C16" s="37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29"/>
      <c r="V16" s="30"/>
      <c r="W16" s="31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35" t="str">
        <f>IF(A16="","",((VLOOKUP(A16,M_Productos[],4,FALSE) + X16)*U16))</f>
        <v/>
      </c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1"/>
    </row>
    <row r="17" spans="1:42" x14ac:dyDescent="0.25">
      <c r="A17" s="37"/>
      <c r="B17" s="37"/>
      <c r="C17" s="37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29"/>
      <c r="V17" s="30"/>
      <c r="W17" s="31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35" t="str">
        <f>IF(A17="","",((VLOOKUP(A17,M_Productos[],4,FALSE) + X17)*U17))</f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1"/>
    </row>
    <row r="18" spans="1:42" x14ac:dyDescent="0.25">
      <c r="A18" s="37"/>
      <c r="B18" s="37"/>
      <c r="C18" s="37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29"/>
      <c r="V18" s="30"/>
      <c r="W18" s="31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35" t="str">
        <f>IF(A18="","",((VLOOKUP(A18,M_Productos[],4,FALSE) + X18)*U18))</f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1"/>
    </row>
    <row r="19" spans="1:42" x14ac:dyDescent="0.25">
      <c r="A19" s="37"/>
      <c r="B19" s="37"/>
      <c r="C19" s="37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29"/>
      <c r="V19" s="30"/>
      <c r="W19" s="31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35" t="str">
        <f>IF(A19="","",((VLOOKUP(A19,M_Productos[],4,FALSE) + X19)*U19))</f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1"/>
    </row>
    <row r="20" spans="1:42" x14ac:dyDescent="0.25">
      <c r="A20" s="37"/>
      <c r="B20" s="37"/>
      <c r="C20" s="37"/>
      <c r="D20" s="36" t="str">
        <f>IF(A21="","",(VLOOKUP(A21,M_Productos[],2,FALSE)))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29"/>
      <c r="V20" s="30"/>
      <c r="W20" s="31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35" t="str">
        <f>IF(A20="","",((VLOOKUP(A20,M_Productos[],4,FALSE) + X20)*U20))</f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1"/>
    </row>
    <row r="21" spans="1:42" x14ac:dyDescent="0.25">
      <c r="A21" s="37"/>
      <c r="B21" s="37"/>
      <c r="C21" s="37"/>
      <c r="U21" s="29"/>
      <c r="V21" s="30"/>
      <c r="W21" s="31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35" t="str">
        <f>IF(A21="","",((VLOOKUP(A21,M_Productos[],4,FALSE) + X21)*U21))</f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1"/>
    </row>
    <row r="22" spans="1:42" x14ac:dyDescent="0.25">
      <c r="A22" s="37"/>
      <c r="B22" s="37"/>
      <c r="C22" s="37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29"/>
      <c r="V22" s="30"/>
      <c r="W22" s="31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35" t="str">
        <f>IF(A22="","",((VLOOKUP(A22,M_Productos[],4,FALSE) + X22)*U22))</f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1"/>
    </row>
    <row r="23" spans="1:42" x14ac:dyDescent="0.25">
      <c r="A23" s="37"/>
      <c r="B23" s="37"/>
      <c r="C23" s="37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29"/>
      <c r="V23" s="30"/>
      <c r="W23" s="31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35" t="str">
        <f>IF(A23="","",((VLOOKUP(A23,M_Productos[],4,FALSE) + X23)*U23))</f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1"/>
    </row>
    <row r="24" spans="1:42" x14ac:dyDescent="0.25">
      <c r="A24" s="37"/>
      <c r="B24" s="37"/>
      <c r="C24" s="37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29"/>
      <c r="V24" s="30"/>
      <c r="W24" s="31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35" t="str">
        <f>IF(A24="","",((VLOOKUP(A24,M_Productos[],4,FALSE) + X24)*U24))</f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1"/>
    </row>
    <row r="25" spans="1:42" x14ac:dyDescent="0.25">
      <c r="A25" s="37"/>
      <c r="B25" s="37"/>
      <c r="C25" s="37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29"/>
      <c r="V25" s="30"/>
      <c r="W25" s="31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35" t="str">
        <f>IF(A25="","",((VLOOKUP(A25,M_Productos[],4,FALSE) + X25)*U25))</f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1"/>
    </row>
    <row r="26" spans="1:42" x14ac:dyDescent="0.25">
      <c r="A26" s="37"/>
      <c r="B26" s="37"/>
      <c r="C26" s="37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29"/>
      <c r="V26" s="30"/>
      <c r="W26" s="31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35" t="str">
        <f>IF(A26="","",((VLOOKUP(A26,M_Productos[],4,FALSE) + X26)*U26))</f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1"/>
    </row>
    <row r="27" spans="1:42" x14ac:dyDescent="0.25">
      <c r="A27" s="37"/>
      <c r="B27" s="37"/>
      <c r="C27" s="37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29"/>
      <c r="V27" s="30"/>
      <c r="W27" s="31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35" t="str">
        <f>IF(A27="","",((VLOOKUP(A27,M_Productos[],4,FALSE) + X27)*U27))</f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1"/>
    </row>
    <row r="28" spans="1:42" ht="20.25" customHeight="1" x14ac:dyDescent="0.25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25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25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25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25">
      <c r="B34" s="46" t="s">
        <v>98</v>
      </c>
      <c r="C34" s="46"/>
      <c r="D34" s="46"/>
      <c r="E34" s="46"/>
    </row>
    <row r="35" spans="2:5" x14ac:dyDescent="0.25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3"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  <mergeCell ref="U21:W21"/>
    <mergeCell ref="A24:C24"/>
    <mergeCell ref="D24:T24"/>
    <mergeCell ref="D25:T25"/>
    <mergeCell ref="D26:T26"/>
    <mergeCell ref="A23:C23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R35"/>
  <sheetViews>
    <sheetView showGridLines="0" zoomScale="85" zoomScaleNormal="85" workbookViewId="0">
      <selection activeCell="X38" sqref="X38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4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4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4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4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4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/>
      <c r="AL5" s="45"/>
      <c r="AM5" s="45"/>
      <c r="AN5" s="3"/>
    </row>
    <row r="6" spans="1:44" x14ac:dyDescent="0.25">
      <c r="A6" s="41"/>
      <c r="B6" s="42"/>
      <c r="C6" s="42"/>
      <c r="D6" s="42"/>
      <c r="E6" s="42"/>
      <c r="AN6" s="3"/>
    </row>
    <row r="7" spans="1:44" ht="7.5" customHeight="1" x14ac:dyDescent="0.25">
      <c r="A7" s="2"/>
      <c r="AN7" s="3"/>
    </row>
    <row r="8" spans="1:44" hidden="1" x14ac:dyDescent="0.25">
      <c r="A8" s="2"/>
      <c r="AN8" s="3"/>
    </row>
    <row r="9" spans="1:44" ht="15.75" thickBot="1" x14ac:dyDescent="0.3">
      <c r="A9" s="2"/>
      <c r="F9" s="48" t="s">
        <v>5</v>
      </c>
      <c r="G9" s="48"/>
      <c r="H9" s="48"/>
      <c r="I9" s="48"/>
      <c r="J9" s="48"/>
      <c r="K9" s="48"/>
      <c r="P9" s="49" t="str">
        <f>IF($AK$5="","",VLOOKUP($AK$5,m_facturas[],2,FALSE))</f>
        <v/>
      </c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4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</row>
    <row r="11" spans="1:44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4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IF(P11="","",VLOOKUP(P9,Empleados,4,FALSE))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4" x14ac:dyDescent="0.25">
      <c r="A13" s="2"/>
      <c r="AN13" s="3"/>
      <c r="AP13" s="38" t="str">
        <f>IF(BF3="","",VLOOKUP($AK$5,m_facturas[],17,FALSE))</f>
        <v/>
      </c>
      <c r="AQ13" s="38"/>
      <c r="AR13" s="38"/>
    </row>
    <row r="14" spans="1:44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4" x14ac:dyDescent="0.25">
      <c r="A15" s="50" t="str">
        <f>IF($AK$5="","",IF(VLOOKUP($AK$5,m_facturas[],4,FALSE)="","",VLOOKUP($AK$5,m_facturas[],4,FALSE)))</f>
        <v/>
      </c>
      <c r="B15" s="51"/>
      <c r="C15" s="52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50" t="str">
        <f>IF(A15="","",VLOOKUP($AK$5,m_facturas[],17,FALSE))</f>
        <v/>
      </c>
      <c r="V15" s="51"/>
      <c r="W15" s="52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4" x14ac:dyDescent="0.25">
      <c r="A16" s="50" t="str">
        <f>IF($AK$5="","",IF(VLOOKUP($AK$5,m_facturas[],5,FALSE)="","",VLOOKUP($AK$5,m_facturas[],5,FALSE)))</f>
        <v/>
      </c>
      <c r="B16" s="51"/>
      <c r="C16" s="52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50" t="str">
        <f>IF(A16="","",VLOOKUP($AK$5,m_facturas[],18,FALSE))</f>
        <v/>
      </c>
      <c r="V16" s="51"/>
      <c r="W16" s="52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IF($AK$5="","",IF(VLOOKUP($AK$5,m_facturas[],6,FALSE)="","",VLOOKUP($AK$5,m_facturas[],6,FALSE)))</f>
        <v/>
      </c>
      <c r="B17" s="51"/>
      <c r="C17" s="52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50" t="str">
        <f>IF(A17="","",VLOOKUP($AK$5,m_facturas[],19,FALSE))</f>
        <v/>
      </c>
      <c r="V17" s="51"/>
      <c r="W17" s="52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IF($AK$5="","",IF(VLOOKUP($AK$5,m_facturas[],7,FALSE)="","",VLOOKUP($AK$5,m_facturas[],7,FALSE)))</f>
        <v/>
      </c>
      <c r="B18" s="51"/>
      <c r="C18" s="52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50" t="str">
        <f>IF(A18="","",VLOOKUP($AK$5,m_facturas[],20,FALSE))</f>
        <v/>
      </c>
      <c r="V18" s="51"/>
      <c r="W18" s="52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IF($AK$5="","",IF(VLOOKUP($AK$5,m_facturas[],8,FALSE)="","",VLOOKUP($AK$5,m_facturas[],8,FALSE)))</f>
        <v/>
      </c>
      <c r="B19" s="51"/>
      <c r="C19" s="52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50" t="str">
        <f>IF(A19="","",VLOOKUP($AK$5,m_facturas[],21,FALSE))</f>
        <v/>
      </c>
      <c r="V19" s="51"/>
      <c r="W19" s="52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IF($AK$5="","",IF(VLOOKUP($AK$5,m_facturas[],9,FALSE)="","",VLOOKUP($AK$5,m_facturas[],9,FALSE)))</f>
        <v/>
      </c>
      <c r="B20" s="51"/>
      <c r="C20" s="52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50" t="str">
        <f>IF(A20="","",VLOOKUP($AK$5,m_facturas[],22,FALSE))</f>
        <v/>
      </c>
      <c r="V20" s="51"/>
      <c r="W20" s="52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IF($AK$5="","",IF(VLOOKUP($AK$5,m_facturas[],10,FALSE)="","",VLOOKUP($AK$5,m_facturas[],10,FALSE)))</f>
        <v/>
      </c>
      <c r="B21" s="51"/>
      <c r="C21" s="52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50" t="str">
        <f>IF(A21="","",VLOOKUP($AK$5,m_facturas[],23,FALSE))</f>
        <v/>
      </c>
      <c r="V21" s="51"/>
      <c r="W21" s="52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IF($AK$5="","",IF(VLOOKUP($AK$5,m_facturas[],11,FALSE)="","",VLOOKUP($AK$5,m_facturas[],11,FALSE)))</f>
        <v/>
      </c>
      <c r="B22" s="51"/>
      <c r="C22" s="52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50" t="str">
        <f>IF(A22="","",VLOOKUP($AK$5,m_facturas[],24,FALSE))</f>
        <v/>
      </c>
      <c r="V22" s="51"/>
      <c r="W22" s="52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IF($AK$5="","",IF(VLOOKUP($AK$5,m_facturas[],12,FALSE)="","",VLOOKUP($AK$5,m_facturas[],12,FALSE)))</f>
        <v/>
      </c>
      <c r="B23" s="51"/>
      <c r="C23" s="52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50" t="str">
        <f>IF(A23="","",VLOOKUP($AK$5,m_facturas[],25,FALSE))</f>
        <v/>
      </c>
      <c r="V23" s="51"/>
      <c r="W23" s="52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IF($AK$5="","",IF(VLOOKUP($AK$5,m_facturas[],13,FALSE)="","",VLOOKUP($AK$5,m_facturas[],13,FALSE)))</f>
        <v/>
      </c>
      <c r="B24" s="51"/>
      <c r="C24" s="52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50" t="str">
        <f>IF(A24="","",VLOOKUP($AK$5,m_facturas[],26,FALSE))</f>
        <v/>
      </c>
      <c r="V24" s="51"/>
      <c r="W24" s="52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IF($AK$5="","",IF(VLOOKUP($AK$5,m_facturas[],14,FALSE)="","",VLOOKUP($AK$5,m_facturas[],14,FALSE)))</f>
        <v/>
      </c>
      <c r="B25" s="51"/>
      <c r="C25" s="52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50" t="str">
        <f>IF(A25="","",VLOOKUP($AK$5,m_facturas[],27,FALSE))</f>
        <v/>
      </c>
      <c r="V25" s="51"/>
      <c r="W25" s="52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IF($AK$5="","",IF(VLOOKUP($AK$5,m_facturas[],15,FALSE)="","",VLOOKUP($AK$5,m_facturas[],15,FALSE)))</f>
        <v/>
      </c>
      <c r="B26" s="51"/>
      <c r="C26" s="52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50" t="str">
        <f>IF(A26="","",VLOOKUP($AK$5,m_facturas[],28,FALSE))</f>
        <v/>
      </c>
      <c r="V26" s="51"/>
      <c r="W26" s="52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IF($AK$5="","",IF(VLOOKUP($AK$5,m_facturas[],16,FALSE)="","",VLOOKUP($AK$5,m_facturas[],16,FALSE)))</f>
        <v/>
      </c>
      <c r="B27" s="51"/>
      <c r="C27" s="52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50" t="str">
        <f>IF(A27="","",VLOOKUP($AK$5,m_facturas[],29,FALSE))</f>
        <v/>
      </c>
      <c r="V27" s="51"/>
      <c r="W27" s="52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25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25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25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25">
      <c r="B34" s="46"/>
      <c r="C34" s="46"/>
      <c r="D34" s="46"/>
      <c r="E34" s="46"/>
    </row>
    <row r="35" spans="2:5" x14ac:dyDescent="0.25">
      <c r="B35" s="46"/>
      <c r="C35" s="46"/>
      <c r="D35" s="46"/>
      <c r="E35" s="46"/>
    </row>
  </sheetData>
  <sheetProtection sheet="1" objects="1" scenarios="1"/>
  <protectedRanges>
    <protectedRange sqref="AK5:AM5" name="Rango1"/>
  </protectedRanges>
  <dataConsolidate function="max"/>
  <mergeCells count="95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15:C15"/>
    <mergeCell ref="D15:T15"/>
    <mergeCell ref="U15:W15"/>
    <mergeCell ref="X15:AC15"/>
    <mergeCell ref="AD15:AN15"/>
    <mergeCell ref="A14:C14"/>
    <mergeCell ref="D14:T14"/>
    <mergeCell ref="U14:W14"/>
    <mergeCell ref="X14:AC14"/>
    <mergeCell ref="AD14:AN14"/>
    <mergeCell ref="AP13:AR13"/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6"/>
  <sheetViews>
    <sheetView zoomScaleNormal="100" workbookViewId="0">
      <selection activeCell="F19" sqref="F19"/>
    </sheetView>
  </sheetViews>
  <sheetFormatPr baseColWidth="10" defaultColWidth="3" defaultRowHeight="15" x14ac:dyDescent="0.25"/>
  <cols>
    <col min="5" max="5" width="9.14062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13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26">
        <v>3</v>
      </c>
      <c r="F3" s="13" t="s">
        <v>48</v>
      </c>
      <c r="G3" s="27">
        <v>44786</v>
      </c>
      <c r="H3" s="28"/>
      <c r="I3" s="28"/>
      <c r="J3" s="28"/>
      <c r="K3" s="28"/>
      <c r="L3" s="28"/>
      <c r="M3" s="28"/>
      <c r="N3" s="28"/>
      <c r="O3" s="28" t="s">
        <v>49</v>
      </c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>
        <v>1</v>
      </c>
      <c r="AC3" s="28"/>
      <c r="AD3" s="28"/>
      <c r="AE3" s="28"/>
      <c r="AF3" s="28"/>
      <c r="AG3" s="28"/>
    </row>
    <row r="4" spans="5:33" x14ac:dyDescent="0.25">
      <c r="E4" s="26">
        <v>2</v>
      </c>
      <c r="F4" s="13" t="s">
        <v>79</v>
      </c>
      <c r="G4" s="27">
        <v>44786</v>
      </c>
      <c r="H4" s="28"/>
      <c r="I4" s="28"/>
      <c r="J4" s="28"/>
      <c r="K4" s="28"/>
      <c r="L4" s="28"/>
      <c r="M4" s="28" t="s">
        <v>52</v>
      </c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>
        <v>1</v>
      </c>
      <c r="AA4" s="28"/>
      <c r="AB4" s="28"/>
      <c r="AC4" s="28"/>
      <c r="AD4" s="28"/>
      <c r="AE4" s="28"/>
      <c r="AF4" s="28"/>
      <c r="AG4" s="28"/>
    </row>
    <row r="5" spans="5:33" x14ac:dyDescent="0.25">
      <c r="E5" s="26">
        <v>1</v>
      </c>
      <c r="F5" s="13" t="s">
        <v>69</v>
      </c>
      <c r="G5" s="27">
        <v>44786</v>
      </c>
      <c r="H5" s="28" t="s">
        <v>85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>
        <v>1</v>
      </c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</row>
    <row r="6" spans="5:33" x14ac:dyDescent="0.25">
      <c r="E6" s="26">
        <v>0</v>
      </c>
      <c r="F6" s="13" t="s">
        <v>50</v>
      </c>
      <c r="G6" s="27">
        <v>44786</v>
      </c>
      <c r="H6" s="28"/>
      <c r="I6" s="28" t="s">
        <v>85</v>
      </c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>
        <v>1</v>
      </c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2022-08-13T17:58:50Z</dcterms:modified>
  <cp:category/>
  <cp:contentStatus/>
</cp:coreProperties>
</file>
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31" documentId="13_ncr:1_{C374DD79-F7C2-4689-94F5-64120680C989}" xr6:coauthVersionLast="47" xr6:coauthVersionMax="47" xr10:uidLastSave="{CEB6067B-5C4F-4C9F-90E7-23318A794188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FACTURAS!$E$3:$E$4</definedName>
    <definedName name="_xlnm._FilterDatabase" localSheetId="0" hidden="1">NUEVA!$D$15:$T$27</definedName>
    <definedName name="Cod_Product">FACTURAS!$E$3:$E$4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7" i="10" l="1"/>
  <c r="U27" i="10" s="1"/>
  <c r="A26" i="10"/>
  <c r="A25" i="10"/>
  <c r="U25" i="10" s="1"/>
  <c r="A24" i="10"/>
  <c r="U24" i="10" s="1"/>
  <c r="A23" i="10"/>
  <c r="U23" i="10" s="1"/>
  <c r="A22" i="10"/>
  <c r="A21" i="10"/>
  <c r="D21" i="10" s="1"/>
  <c r="A20" i="10"/>
  <c r="U20" i="10" s="1"/>
  <c r="A19" i="10"/>
  <c r="U19" i="10" s="1"/>
  <c r="A18" i="10"/>
  <c r="U18" i="10" s="1"/>
  <c r="A17" i="10"/>
  <c r="D17" i="10" s="1"/>
  <c r="A16" i="10"/>
  <c r="U16" i="10" s="1"/>
  <c r="A15" i="10"/>
  <c r="U15" i="10" s="1"/>
  <c r="P9" i="10"/>
  <c r="P10" i="10" s="1"/>
  <c r="P11" i="10" s="1"/>
  <c r="P12" i="10" s="1"/>
  <c r="U26" i="10"/>
  <c r="U22" i="10"/>
  <c r="AP13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0" i="2"/>
  <c r="D21" i="2"/>
  <c r="D22" i="2"/>
  <c r="D23" i="2"/>
  <c r="D24" i="2"/>
  <c r="D25" i="2"/>
  <c r="D26" i="2"/>
  <c r="D15" i="2"/>
  <c r="AK2" i="10"/>
  <c r="AK2" i="2"/>
  <c r="D25" i="10" l="1"/>
  <c r="U17" i="10"/>
  <c r="U21" i="10"/>
  <c r="X17" i="10"/>
  <c r="AD17" i="10" s="1"/>
  <c r="X21" i="10"/>
  <c r="AD21" i="10" s="1"/>
  <c r="X25" i="10"/>
  <c r="AD25" i="10" s="1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<sst xmlns="http://schemas.openxmlformats.org/spreadsheetml/2006/main" count="128" uniqueCount="99">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</sst>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166" fontId="0" fillId="3" borderId="16" xfId="0" applyNumberFormat="1" applyFill="1" applyBorder="1"/>
    <xf numFmtId="165" fontId="0" fillId="0" borderId="17" xfId="0" applyNumberFormat="1" applyBorder="1"/>
    <xf numFmtId="0" fontId="0" fillId="0" borderId="15" xfId="0" applyBorder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7171"/>
      <color rgb="FFFF1919"/>
      <color rgb="FFFFD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B802DE41-A29A-4F63-A25A-D116B7254ABD}"/>
            </a:ext>
          </a:extLst>
        </xdr:cNvPr>
        <xdr:cNvSpPr/>
      </xdr:nvSpPr>
      <xdr:spPr>
        <a:xfrm>
          <a:off x="520148" y="6092356"/>
          <a:ext cx="1202304" cy="41545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8592EFDC-F394-42C9-820A-470434960A1F}"/>
            </a:ext>
          </a:extLst>
        </xdr:cNvPr>
        <xdr:cNvSpPr/>
      </xdr:nvSpPr>
      <xdr:spPr>
        <a:xfrm>
          <a:off x="514933" y="6099168"/>
          <a:ext cx="1209141" cy="414081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 hidden="1">
          <a:extLst>
            <a:ext uri="{FF2B5EF4-FFF2-40B4-BE49-F238E27FC236}">
              <a16:creationId xmlns:a16="http://schemas.microsoft.com/office/drawing/2014/main" id="{84E9F679-40DB-4492-81A2-CD642ABDAC8B}"/>
            </a:ext>
          </a:extLst>
        </xdr:cNvPr>
        <xdr:cNvSpPr/>
      </xdr:nvSpPr>
      <xdr:spPr>
        <a:xfrm>
          <a:off x="2161904" y="6111240"/>
          <a:ext cx="1182189" cy="41148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23E0723-6004-43A9-9F6F-2D77838AE8D6}"/>
            </a:ext>
          </a:extLst>
        </xdr:cNvPr>
        <xdr:cNvSpPr/>
      </xdr:nvSpPr>
      <xdr:spPr>
        <a:xfrm>
          <a:off x="2168434" y="6112330"/>
          <a:ext cx="1181100" cy="41148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4" totalsRowShown="0" headerRowDxfId="47" dataDxfId="46" tableBorderDxfId="45">
  <autoFilter ref="E2:AG4" xr:uid="{0CD457BA-9725-4E16-BBBC-4B55AB6B05BA}"/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5"/>
  <sheetViews>
    <sheetView showGridLines="0" tabSelected="1" zoomScale="85" zoomScaleNormal="85" workbookViewId="0">
      <selection activeCell="AS27" sqref="AS27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2" x14ac:dyDescent="0.25">
      <c r="A2" s="41"/>
      <c r="B2" s="42"/>
      <c r="C2" s="42"/>
      <c r="D2" s="42"/>
      <c r="E2" s="42"/>
      <c r="AK2" s="44">
        <f ca="1">TODAY()</f>
        <v>44786</v>
      </c>
      <c r="AL2" s="44"/>
      <c r="AM2" s="44"/>
      <c r="AN2" s="9"/>
    </row>
    <row r="3" spans="1:42" x14ac:dyDescent="0.25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2" x14ac:dyDescent="0.25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2" ht="15" customHeight="1" x14ac:dyDescent="0.25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>
        <v>2</v>
      </c>
      <c r="AL5" s="45"/>
      <c r="AM5" s="45"/>
      <c r="AN5" s="3"/>
    </row>
    <row r="6" spans="1:42" x14ac:dyDescent="0.25">
      <c r="A6" s="41"/>
      <c r="B6" s="42"/>
      <c r="C6" s="42"/>
      <c r="D6" s="42"/>
      <c r="E6" s="42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48" t="s">
        <v>5</v>
      </c>
      <c r="G9" s="48"/>
      <c r="H9" s="48"/>
      <c r="I9" s="48"/>
      <c r="J9" s="48"/>
      <c r="K9" s="48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2" ht="15.75" thickBot="1" x14ac:dyDescent="0.3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  <c r="AO10" t="s">
        <v>7</v>
      </c>
    </row>
    <row r="11" spans="1:42" ht="15.75" thickBot="1" x14ac:dyDescent="0.3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2" ht="15.75" thickBot="1" x14ac:dyDescent="0.3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IF(P11="","",VLOOKUP(P9,M_Empleados[],4,FALSE))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2" x14ac:dyDescent="0.25">
      <c r="A13" s="2"/>
      <c r="AN13" s="3"/>
    </row>
    <row r="14" spans="1:42" x14ac:dyDescent="0.25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2" x14ac:dyDescent="0.25">
      <c r="A15" s="37"/>
      <c r="B15" s="37"/>
      <c r="C15" s="37"/>
      <c r="D15" s="36" t="str">
        <f>IF(A15="","",(VLOOKUP(A15,M_Productos[],2,FALSE)))</f>
        <v/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29"/>
      <c r="V15" s="30"/>
      <c r="W15" s="31"/>
      <c r="X15" s="35" t="str">
        <f>IF(A15="","",(VLOOKUP(A15,M_Productos[],4,FALSE)*VLOOKUP($A15,M_Productos[],3,FALSE)*U15))</f>
        <v/>
      </c>
      <c r="Y15" s="35"/>
      <c r="Z15" s="35"/>
      <c r="AA15" s="35"/>
      <c r="AB15" s="35"/>
      <c r="AC15" s="35"/>
      <c r="AD15" s="35" t="str">
        <f>IF(A15="","",((VLOOKUP(A15,M_Productos[],4,FALSE)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2" x14ac:dyDescent="0.25">
      <c r="A16" s="37"/>
      <c r="B16" s="37"/>
      <c r="C16" s="37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29"/>
      <c r="V16" s="30"/>
      <c r="W16" s="31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35" t="str">
        <f>IF(A16="","",((VLOOKUP(A16,M_Productos[],4,FALSE) + X16)*U16))</f>
        <v/>
      </c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P16" s="11"/>
    </row>
    <row r="17" spans="1:42" x14ac:dyDescent="0.25">
      <c r="A17" s="37"/>
      <c r="B17" s="37"/>
      <c r="C17" s="37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29"/>
      <c r="V17" s="30"/>
      <c r="W17" s="31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35" t="str">
        <f>IF(A17="","",((VLOOKUP(A17,M_Productos[],4,FALSE) + X17)*U17))</f>
        <v/>
      </c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P17" s="11"/>
    </row>
    <row r="18" spans="1:42" x14ac:dyDescent="0.25">
      <c r="A18" s="37"/>
      <c r="B18" s="37"/>
      <c r="C18" s="37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29"/>
      <c r="V18" s="30"/>
      <c r="W18" s="31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35" t="str">
        <f>IF(A18="","",((VLOOKUP(A18,M_Productos[],4,FALSE) + X18)*U18))</f>
        <v/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11"/>
    </row>
    <row r="19" spans="1:42" x14ac:dyDescent="0.25">
      <c r="A19" s="37"/>
      <c r="B19" s="37"/>
      <c r="C19" s="37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29"/>
      <c r="V19" s="30"/>
      <c r="W19" s="31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35" t="str">
        <f>IF(A19="","",((VLOOKUP(A19,M_Productos[],4,FALSE) + X19)*U19))</f>
        <v/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1"/>
    </row>
    <row r="20" spans="1:42" x14ac:dyDescent="0.25">
      <c r="A20" s="37"/>
      <c r="B20" s="37"/>
      <c r="C20" s="37"/>
      <c r="D20" s="36" t="str">
        <f>IF(A20="","",(VLOOKUP(A20,M_Productos[],2,FALSE)))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29"/>
      <c r="V20" s="30"/>
      <c r="W20" s="31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35" t="str">
        <f>IF(A20="","",((VLOOKUP(A20,M_Productos[],4,FALSE) + X20)*U20))</f>
        <v/>
      </c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P20" s="11"/>
    </row>
    <row r="21" spans="1:42" x14ac:dyDescent="0.25">
      <c r="A21" s="37"/>
      <c r="B21" s="37"/>
      <c r="C21" s="37"/>
      <c r="D21" s="36" t="str">
        <f>IF(A21="","",(VLOOKUP(A21,M_Productos[],2,FALSE)))</f>
        <v/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29"/>
      <c r="V21" s="30"/>
      <c r="W21" s="31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35" t="str">
        <f>IF(A21="","",((VLOOKUP(A21,M_Productos[],4,FALSE) + X21)*U21))</f>
        <v/>
      </c>
      <c r="AE21" s="35"/>
      <c r="AF21" s="35"/>
      <c r="AG21" s="35"/>
      <c r="AH21" s="35"/>
      <c r="AI21" s="35"/>
      <c r="AJ21" s="35"/>
      <c r="AK21" s="35"/>
      <c r="AL21" s="35"/>
      <c r="AM21" s="35"/>
      <c r="AN21" s="35"/>
      <c r="AP21" s="11"/>
    </row>
    <row r="22" spans="1:42" x14ac:dyDescent="0.25">
      <c r="A22" s="37"/>
      <c r="B22" s="37"/>
      <c r="C22" s="37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29"/>
      <c r="V22" s="30"/>
      <c r="W22" s="31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35" t="str">
        <f>IF(A22="","",((VLOOKUP(A22,M_Productos[],4,FALSE) + X22)*U22))</f>
        <v/>
      </c>
      <c r="AE22" s="35"/>
      <c r="AF22" s="35"/>
      <c r="AG22" s="35"/>
      <c r="AH22" s="35"/>
      <c r="AI22" s="35"/>
      <c r="AJ22" s="35"/>
      <c r="AK22" s="35"/>
      <c r="AL22" s="35"/>
      <c r="AM22" s="35"/>
      <c r="AN22" s="35"/>
      <c r="AP22" s="11"/>
    </row>
    <row r="23" spans="1:42" x14ac:dyDescent="0.25">
      <c r="A23" s="37"/>
      <c r="B23" s="37"/>
      <c r="C23" s="37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29"/>
      <c r="V23" s="30"/>
      <c r="W23" s="31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35" t="str">
        <f>IF(A23="","",((VLOOKUP(A23,M_Productos[],4,FALSE) + X23)*U23))</f>
        <v/>
      </c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P23" s="11"/>
    </row>
    <row r="24" spans="1:42" x14ac:dyDescent="0.25">
      <c r="A24" s="37"/>
      <c r="B24" s="37"/>
      <c r="C24" s="37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29"/>
      <c r="V24" s="30"/>
      <c r="W24" s="31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35" t="str">
        <f>IF(A24="","",((VLOOKUP(A24,M_Productos[],4,FALSE) + X24)*U24))</f>
        <v/>
      </c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P24" s="11"/>
    </row>
    <row r="25" spans="1:42" x14ac:dyDescent="0.25">
      <c r="A25" s="37"/>
      <c r="B25" s="37"/>
      <c r="C25" s="37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29"/>
      <c r="V25" s="30"/>
      <c r="W25" s="31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35" t="str">
        <f>IF(A25="","",((VLOOKUP(A25,M_Productos[],4,FALSE) + X25)*U25))</f>
        <v/>
      </c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P25" s="11"/>
    </row>
    <row r="26" spans="1:42" x14ac:dyDescent="0.25">
      <c r="A26" s="37"/>
      <c r="B26" s="37"/>
      <c r="C26" s="37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29"/>
      <c r="V26" s="30"/>
      <c r="W26" s="31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35" t="str">
        <f>IF(A26="","",((VLOOKUP(A26,M_Productos[],4,FALSE) + X26)*U26))</f>
        <v/>
      </c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P26" s="11"/>
    </row>
    <row r="27" spans="1:42" x14ac:dyDescent="0.25">
      <c r="A27" s="37"/>
      <c r="B27" s="37"/>
      <c r="C27" s="37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29"/>
      <c r="V27" s="30"/>
      <c r="W27" s="31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35" t="str">
        <f>IF(A27="","",((VLOOKUP(A27,M_Productos[],4,FALSE) + X27)*U27))</f>
        <v/>
      </c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P27" s="11"/>
    </row>
    <row r="28" spans="1:42" ht="20.25" customHeight="1" x14ac:dyDescent="0.25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>
        <f>SUM(AD15:AN27)- SUM(X15:AC27)</f>
        <v>0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25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>
        <f>SUM(X15:AC27)</f>
        <v>0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25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>
        <f>SUM(AD28:AN29)</f>
        <v>0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25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>
        <f>IF(AD28&lt;1000000,+AD28-AD30*2%,IF(AD28&lt;5000000,+AD28-AD30*5%,IF(AD28&lt;10000000,+AD28-AD30*10%,IF(AD28&lt;30000000,+AD28-AD30*15%,IF(AD28&gt;30000000,+AD28-AD30*20%)))))</f>
        <v>0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25">
      <c r="B34" s="46" t="s">
        <v>98</v>
      </c>
      <c r="C34" s="46"/>
      <c r="D34" s="46"/>
      <c r="E34" s="46"/>
    </row>
    <row r="35" spans="2:5" x14ac:dyDescent="0.25">
      <c r="B35" s="46"/>
      <c r="C35" s="46"/>
      <c r="D35" s="46"/>
      <c r="E35" s="46"/>
    </row>
  </sheetData>
  <protectedRanges>
    <protectedRange sqref="AK5:AM5" name="Rango1"/>
  </protectedRanges>
  <dataConsolidate function="max"/>
  <mergeCells count="94">
    <mergeCell ref="AK5:AM5"/>
    <mergeCell ref="AK4:AM4"/>
    <mergeCell ref="AK1:AM1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1:E6"/>
    <mergeCell ref="P12:Z12"/>
    <mergeCell ref="AK2:AM2"/>
    <mergeCell ref="A25:C25"/>
    <mergeCell ref="A26:C26"/>
    <mergeCell ref="A22:C22"/>
    <mergeCell ref="A23:C23"/>
    <mergeCell ref="A24:C24"/>
    <mergeCell ref="D24:T24"/>
    <mergeCell ref="D25:T25"/>
    <mergeCell ref="D26:T26"/>
    <mergeCell ref="X22:AC22"/>
    <mergeCell ref="U24:W24"/>
    <mergeCell ref="U25:W25"/>
    <mergeCell ref="X17:AC17"/>
    <mergeCell ref="X18:AC18"/>
    <mergeCell ref="A21:C21"/>
    <mergeCell ref="U20:W20"/>
    <mergeCell ref="U21:W21"/>
    <mergeCell ref="X15:AC15"/>
    <mergeCell ref="X16:AC16"/>
    <mergeCell ref="A15:C15"/>
    <mergeCell ref="A16:C16"/>
    <mergeCell ref="D21:T21"/>
    <mergeCell ref="U19:W19"/>
    <mergeCell ref="X19:AC19"/>
    <mergeCell ref="X20:AC20"/>
    <mergeCell ref="X21:AC21"/>
    <mergeCell ref="A17:C17"/>
    <mergeCell ref="A18:C18"/>
    <mergeCell ref="A19:C19"/>
    <mergeCell ref="A20:C20"/>
    <mergeCell ref="D14:T14"/>
    <mergeCell ref="D20:T20"/>
    <mergeCell ref="D15:T15"/>
    <mergeCell ref="D16:T16"/>
    <mergeCell ref="D17:T17"/>
    <mergeCell ref="D18:T18"/>
    <mergeCell ref="D19:T19"/>
    <mergeCell ref="U22:W22"/>
    <mergeCell ref="U23:W23"/>
    <mergeCell ref="D22:T22"/>
    <mergeCell ref="D23:T23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U26:W26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R35"/>
  <sheetViews>
    <sheetView showGridLines="0" zoomScale="85" zoomScaleNormal="85" workbookViewId="0">
      <selection activeCell="T34" sqref="T34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4" x14ac:dyDescent="0.25">
      <c r="A1" s="39"/>
      <c r="B1" s="40"/>
      <c r="C1" s="40"/>
      <c r="D1" s="40"/>
      <c r="E1" s="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0" t="s">
        <v>0</v>
      </c>
      <c r="AL1" s="40"/>
      <c r="AM1" s="40"/>
      <c r="AN1" s="10"/>
    </row>
    <row r="2" spans="1:44" x14ac:dyDescent="0.25">
      <c r="A2" s="41"/>
      <c r="B2" s="42"/>
      <c r="C2" s="42"/>
      <c r="D2" s="42"/>
      <c r="E2" s="42"/>
      <c r="AK2" s="44">
        <f ca="1">TODAY()</f>
        <v>44786</v>
      </c>
      <c r="AL2" s="44"/>
      <c r="AM2" s="44"/>
      <c r="AN2" s="9"/>
    </row>
    <row r="3" spans="1:44" x14ac:dyDescent="0.25">
      <c r="A3" s="41"/>
      <c r="B3" s="42"/>
      <c r="C3" s="42"/>
      <c r="D3" s="42"/>
      <c r="E3" s="42"/>
      <c r="O3" s="47" t="s">
        <v>1</v>
      </c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N3" s="3"/>
    </row>
    <row r="4" spans="1:44" x14ac:dyDescent="0.25">
      <c r="A4" s="41"/>
      <c r="B4" s="42"/>
      <c r="C4" s="42"/>
      <c r="D4" s="42"/>
      <c r="E4" s="42"/>
      <c r="AK4" s="42" t="s">
        <v>2</v>
      </c>
      <c r="AL4" s="42"/>
      <c r="AM4" s="42"/>
      <c r="AN4" s="3"/>
    </row>
    <row r="5" spans="1:44" ht="15" customHeight="1" x14ac:dyDescent="0.25">
      <c r="A5" s="41"/>
      <c r="B5" s="42"/>
      <c r="C5" s="42"/>
      <c r="D5" s="42"/>
      <c r="E5" s="42"/>
      <c r="O5" s="42" t="s">
        <v>3</v>
      </c>
      <c r="P5" s="42"/>
      <c r="Q5" s="42"/>
      <c r="R5" s="42"/>
      <c r="S5" s="42"/>
      <c r="T5" s="42"/>
      <c r="U5" s="42"/>
      <c r="V5" s="42"/>
      <c r="W5" s="42"/>
      <c r="X5" s="42"/>
      <c r="Y5" s="42"/>
      <c r="AJ5" t="s">
        <v>4</v>
      </c>
      <c r="AK5" s="45"/>
      <c r="AL5" s="45"/>
      <c r="AM5" s="45"/>
      <c r="AN5" s="3"/>
    </row>
    <row r="6" spans="1:44" x14ac:dyDescent="0.25">
      <c r="A6" s="41"/>
      <c r="B6" s="42"/>
      <c r="C6" s="42"/>
      <c r="D6" s="42"/>
      <c r="E6" s="42"/>
      <c r="AN6" s="3"/>
    </row>
    <row r="7" spans="1:44" ht="7.5" customHeight="1" x14ac:dyDescent="0.25">
      <c r="A7" s="2"/>
      <c r="AN7" s="3"/>
    </row>
    <row r="8" spans="1:44" hidden="1" x14ac:dyDescent="0.25">
      <c r="A8" s="2"/>
      <c r="AN8" s="3"/>
    </row>
    <row r="9" spans="1:44" ht="15.75" thickBot="1" x14ac:dyDescent="0.3">
      <c r="A9" s="2"/>
      <c r="F9" s="48" t="s">
        <v>5</v>
      </c>
      <c r="G9" s="48"/>
      <c r="H9" s="48"/>
      <c r="I9" s="48"/>
      <c r="J9" s="48"/>
      <c r="K9" s="48"/>
      <c r="P9" s="49" t="str">
        <f>IF($AK$5="","",VLOOKUP($AK$5,m_facturas[],2,FALSE))</f>
        <v/>
      </c>
      <c r="Q9" s="49"/>
      <c r="R9" s="49"/>
      <c r="S9" s="49"/>
      <c r="T9" s="49"/>
      <c r="U9" s="49"/>
      <c r="V9" s="49"/>
      <c r="W9" s="49"/>
      <c r="X9" s="49"/>
      <c r="Y9" s="49"/>
      <c r="Z9" s="49"/>
      <c r="AN9" s="3"/>
    </row>
    <row r="10" spans="1:44" ht="15.75" thickBot="1" x14ac:dyDescent="0.3">
      <c r="A10" s="2"/>
      <c r="F10" s="48" t="s">
        <v>6</v>
      </c>
      <c r="G10" s="48"/>
      <c r="H10" s="48"/>
      <c r="I10" s="48"/>
      <c r="J10" s="48"/>
      <c r="K10" s="48"/>
      <c r="P10" s="40" t="str">
        <f>IF(P9="","",VLOOKUP(P9,M_Empleados[],2,FALSE))</f>
        <v/>
      </c>
      <c r="Q10" s="40"/>
      <c r="R10" s="40"/>
      <c r="S10" s="40"/>
      <c r="T10" s="40"/>
      <c r="U10" s="40"/>
      <c r="V10" s="40"/>
      <c r="W10" s="40"/>
      <c r="X10" s="40"/>
      <c r="Y10" s="40"/>
      <c r="Z10" s="40"/>
      <c r="AN10" s="3"/>
    </row>
    <row r="11" spans="1:44" ht="15.75" thickBot="1" x14ac:dyDescent="0.3">
      <c r="A11" s="2"/>
      <c r="F11" s="48" t="s">
        <v>8</v>
      </c>
      <c r="G11" s="48"/>
      <c r="H11" s="48"/>
      <c r="I11" s="48"/>
      <c r="J11" s="48"/>
      <c r="K11" s="48"/>
      <c r="P11" s="40" t="str">
        <f>IF(P10="","",VLOOKUP(P9,M_Empleados[],3,FALSE))</f>
        <v/>
      </c>
      <c r="Q11" s="40"/>
      <c r="R11" s="40"/>
      <c r="S11" s="40"/>
      <c r="T11" s="40"/>
      <c r="U11" s="40"/>
      <c r="V11" s="40"/>
      <c r="W11" s="40"/>
      <c r="X11" s="40"/>
      <c r="Y11" s="40"/>
      <c r="Z11" s="40"/>
      <c r="AN11" s="3"/>
    </row>
    <row r="12" spans="1:44" ht="15.75" thickBot="1" x14ac:dyDescent="0.3">
      <c r="A12" s="2"/>
      <c r="F12" s="48" t="s">
        <v>9</v>
      </c>
      <c r="G12" s="48"/>
      <c r="H12" s="48"/>
      <c r="I12" s="7"/>
      <c r="J12" s="7"/>
      <c r="K12" s="7"/>
      <c r="P12" s="43" t="str">
        <f>IF(P11="","",VLOOKUP(P9,Empleados,4,FALSE))</f>
        <v/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N12" s="3"/>
    </row>
    <row r="13" spans="1:44" x14ac:dyDescent="0.25">
      <c r="A13" s="2"/>
      <c r="AN13" s="3"/>
      <c r="AP13" s="38" t="str">
        <f>IF(BF3="","",VLOOKUP($AK$5,m_facturas[],17,FALSE))</f>
        <v/>
      </c>
      <c r="AQ13" s="38"/>
      <c r="AR13" s="38"/>
    </row>
    <row r="14" spans="1:44" x14ac:dyDescent="0.25">
      <c r="A14" s="38" t="s">
        <v>10</v>
      </c>
      <c r="B14" s="38"/>
      <c r="C14" s="38"/>
      <c r="D14" s="38" t="s">
        <v>11</v>
      </c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 t="s">
        <v>12</v>
      </c>
      <c r="V14" s="38"/>
      <c r="W14" s="38"/>
      <c r="X14" s="38" t="s">
        <v>13</v>
      </c>
      <c r="Y14" s="38"/>
      <c r="Z14" s="38"/>
      <c r="AA14" s="38"/>
      <c r="AB14" s="38"/>
      <c r="AC14" s="38"/>
      <c r="AD14" s="38" t="s">
        <v>14</v>
      </c>
      <c r="AE14" s="38"/>
      <c r="AF14" s="38"/>
      <c r="AG14" s="38"/>
      <c r="AH14" s="38"/>
      <c r="AI14" s="38"/>
      <c r="AJ14" s="38"/>
      <c r="AK14" s="38"/>
      <c r="AL14" s="38"/>
      <c r="AM14" s="38"/>
      <c r="AN14" s="38"/>
    </row>
    <row r="15" spans="1:44" x14ac:dyDescent="0.25">
      <c r="A15" s="50" t="str">
        <f>IF($AK$5="","",IF(VLOOKUP($AK$5,m_facturas[],4,FALSE)="","",VLOOKUP($AK$5,m_facturas[],4,FALSE)))</f>
        <v/>
      </c>
      <c r="B15" s="51"/>
      <c r="C15" s="52"/>
      <c r="D15" s="36" t="str">
        <f>IF(A15="","",(VLOOKUP(A15,M_Productos[],2,FALSE)))</f>
        <v/>
      </c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50" t="str">
        <f>IF(A15="","",VLOOKUP($AK$5,m_facturas[],17,FALSE))</f>
        <v/>
      </c>
      <c r="V15" s="51"/>
      <c r="W15" s="52"/>
      <c r="X15" s="35" t="str">
        <f>IF(A15="","",(VLOOKUP(A15,M_Productos[],4,FALSE)*VLOOKUP($A15,M_Productos[],3,FALSE)*U15))</f>
        <v/>
      </c>
      <c r="Y15" s="35"/>
      <c r="Z15" s="35"/>
      <c r="AA15" s="35"/>
      <c r="AB15" s="35"/>
      <c r="AC15" s="35"/>
      <c r="AD15" s="35" t="str">
        <f>IF(A15="","",((VLOOKUP(A15,M_Productos[],4,FALSE) + X15)*U15))</f>
        <v/>
      </c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P15" s="11"/>
    </row>
    <row r="16" spans="1:44" x14ac:dyDescent="0.25">
      <c r="A16" s="50" t="str">
        <f>IF($AK$5="","",IF(VLOOKUP($AK$5,m_facturas[],5,FALSE)="","",VLOOKUP($AK$5,m_facturas[],5,FALSE)))</f>
        <v/>
      </c>
      <c r="B16" s="51"/>
      <c r="C16" s="52"/>
      <c r="D16" s="36" t="str">
        <f>IF(A16="","",(VLOOKUP(A16,M_Productos[],2,FALSE)))</f>
        <v/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50" t="str">
        <f>IF(A16="","",VLOOKUP($AK$5,m_facturas[],18,FALSE))</f>
        <v/>
      </c>
      <c r="V16" s="51"/>
      <c r="W16" s="52"/>
      <c r="X16" s="35" t="str">
        <f>IF(A16="","",(VLOOKUP(A16,M_Productos[],4,FALSE)*VLOOKUP($A16,M_Productos[],3,FALSE)*U16))</f>
        <v/>
      </c>
      <c r="Y16" s="35"/>
      <c r="Z16" s="35"/>
      <c r="AA16" s="35"/>
      <c r="AB16" s="35"/>
      <c r="AC16" s="35"/>
      <c r="AD16" s="53" t="str">
        <f>IF(A16="","",((VLOOKUP(A16,M_Productos[],4,FALSE) + X16)*U16))</f>
        <v/>
      </c>
      <c r="AE16" s="54"/>
      <c r="AF16" s="54"/>
      <c r="AG16" s="54"/>
      <c r="AH16" s="54"/>
      <c r="AI16" s="54"/>
      <c r="AJ16" s="54"/>
      <c r="AK16" s="54"/>
      <c r="AL16" s="54"/>
      <c r="AM16" s="54"/>
      <c r="AN16" s="55"/>
      <c r="AP16" s="11"/>
    </row>
    <row r="17" spans="1:42" x14ac:dyDescent="0.25">
      <c r="A17" s="50" t="str">
        <f>IF($AK$5="","",IF(VLOOKUP($AK$5,m_facturas[],6,FALSE)="","",VLOOKUP($AK$5,m_facturas[],6,FALSE)))</f>
        <v/>
      </c>
      <c r="B17" s="51"/>
      <c r="C17" s="52"/>
      <c r="D17" s="36" t="str">
        <f>IF(A17="","",(VLOOKUP(A17,M_Productos[],2,FALSE)))</f>
        <v/>
      </c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50" t="str">
        <f>IF(A17="","",VLOOKUP($AK$5,m_facturas[],19,FALSE))</f>
        <v/>
      </c>
      <c r="V17" s="51"/>
      <c r="W17" s="52"/>
      <c r="X17" s="35" t="str">
        <f>IF(A17="","",(VLOOKUP(A17,M_Productos[],4,FALSE)*VLOOKUP($A17,M_Productos[],3,FALSE)*U17))</f>
        <v/>
      </c>
      <c r="Y17" s="35"/>
      <c r="Z17" s="35"/>
      <c r="AA17" s="35"/>
      <c r="AB17" s="35"/>
      <c r="AC17" s="35"/>
      <c r="AD17" s="53" t="str">
        <f>IF(A17="","",((VLOOKUP(A17,M_Productos[],4,FALSE) + X17)*U17))</f>
        <v/>
      </c>
      <c r="AE17" s="54"/>
      <c r="AF17" s="54"/>
      <c r="AG17" s="54"/>
      <c r="AH17" s="54"/>
      <c r="AI17" s="54"/>
      <c r="AJ17" s="54"/>
      <c r="AK17" s="54"/>
      <c r="AL17" s="54"/>
      <c r="AM17" s="54"/>
      <c r="AN17" s="55"/>
      <c r="AP17" s="11"/>
    </row>
    <row r="18" spans="1:42" x14ac:dyDescent="0.25">
      <c r="A18" s="50" t="str">
        <f>IF($AK$5="","",IF(VLOOKUP($AK$5,m_facturas[],7,FALSE)="","",VLOOKUP($AK$5,m_facturas[],7,FALSE)))</f>
        <v/>
      </c>
      <c r="B18" s="51"/>
      <c r="C18" s="52"/>
      <c r="D18" s="36" t="str">
        <f>IF(A18="","",(VLOOKUP(A18,M_Productos[],2,FALSE)))</f>
        <v/>
      </c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50" t="str">
        <f>IF(A18="","",VLOOKUP($AK$5,m_facturas[],20,FALSE))</f>
        <v/>
      </c>
      <c r="V18" s="51"/>
      <c r="W18" s="52"/>
      <c r="X18" s="35" t="str">
        <f>IF(A18="","",(VLOOKUP(A18,M_Productos[],4,FALSE)*VLOOKUP($A18,M_Productos[],3,FALSE)*U18))</f>
        <v/>
      </c>
      <c r="Y18" s="35"/>
      <c r="Z18" s="35"/>
      <c r="AA18" s="35"/>
      <c r="AB18" s="35"/>
      <c r="AC18" s="35"/>
      <c r="AD18" s="53" t="str">
        <f>IF(A18="","",((VLOOKUP(A18,M_Productos[],4,FALSE) + X18)*U18))</f>
        <v/>
      </c>
      <c r="AE18" s="54"/>
      <c r="AF18" s="54"/>
      <c r="AG18" s="54"/>
      <c r="AH18" s="54"/>
      <c r="AI18" s="54"/>
      <c r="AJ18" s="54"/>
      <c r="AK18" s="54"/>
      <c r="AL18" s="54"/>
      <c r="AM18" s="54"/>
      <c r="AN18" s="55"/>
      <c r="AP18" s="11"/>
    </row>
    <row r="19" spans="1:42" x14ac:dyDescent="0.25">
      <c r="A19" s="50" t="str">
        <f>IF($AK$5="","",IF(VLOOKUP($AK$5,m_facturas[],8,FALSE)="","",VLOOKUP($AK$5,m_facturas[],8,FALSE)))</f>
        <v/>
      </c>
      <c r="B19" s="51"/>
      <c r="C19" s="52"/>
      <c r="D19" s="36" t="str">
        <f>IF(A19="","",(VLOOKUP(A19,M_Productos[],2,FALSE)))</f>
        <v/>
      </c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50" t="str">
        <f>IF(A19="","",VLOOKUP($AK$5,m_facturas[],21,FALSE))</f>
        <v/>
      </c>
      <c r="V19" s="51"/>
      <c r="W19" s="52"/>
      <c r="X19" s="35" t="str">
        <f>IF(A19="","",(VLOOKUP(A19,M_Productos[],4,FALSE)*VLOOKUP($A19,M_Productos[],3,FALSE)*U19))</f>
        <v/>
      </c>
      <c r="Y19" s="35"/>
      <c r="Z19" s="35"/>
      <c r="AA19" s="35"/>
      <c r="AB19" s="35"/>
      <c r="AC19" s="35"/>
      <c r="AD19" s="53" t="str">
        <f>IF(A19="","",((VLOOKUP(A19,M_Productos[],4,FALSE) + X19)*U19))</f>
        <v/>
      </c>
      <c r="AE19" s="54"/>
      <c r="AF19" s="54"/>
      <c r="AG19" s="54"/>
      <c r="AH19" s="54"/>
      <c r="AI19" s="54"/>
      <c r="AJ19" s="54"/>
      <c r="AK19" s="54"/>
      <c r="AL19" s="54"/>
      <c r="AM19" s="54"/>
      <c r="AN19" s="55"/>
      <c r="AP19" s="11"/>
    </row>
    <row r="20" spans="1:42" x14ac:dyDescent="0.25">
      <c r="A20" s="50" t="str">
        <f>IF($AK$5="","",IF(VLOOKUP($AK$5,m_facturas[],9,FALSE)="","",VLOOKUP($AK$5,m_facturas[],9,FALSE)))</f>
        <v/>
      </c>
      <c r="B20" s="51"/>
      <c r="C20" s="52"/>
      <c r="D20" s="36" t="str">
        <f>IF(A20="","",(VLOOKUP(A20,M_Productos[],2,FALSE)))</f>
        <v/>
      </c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50" t="str">
        <f>IF(A20="","",VLOOKUP($AK$5,m_facturas[],22,FALSE))</f>
        <v/>
      </c>
      <c r="V20" s="51"/>
      <c r="W20" s="52"/>
      <c r="X20" s="35" t="str">
        <f>IF(A20="","",(VLOOKUP(A20,M_Productos[],4,FALSE)*VLOOKUP($A20,M_Productos[],3,FALSE)*U20))</f>
        <v/>
      </c>
      <c r="Y20" s="35"/>
      <c r="Z20" s="35"/>
      <c r="AA20" s="35"/>
      <c r="AB20" s="35"/>
      <c r="AC20" s="35"/>
      <c r="AD20" s="53" t="str">
        <f>IF(A20="","",((VLOOKUP(A20,M_Productos[],4,FALSE) + X20)*U20))</f>
        <v/>
      </c>
      <c r="AE20" s="54"/>
      <c r="AF20" s="54"/>
      <c r="AG20" s="54"/>
      <c r="AH20" s="54"/>
      <c r="AI20" s="54"/>
      <c r="AJ20" s="54"/>
      <c r="AK20" s="54"/>
      <c r="AL20" s="54"/>
      <c r="AM20" s="54"/>
      <c r="AN20" s="55"/>
      <c r="AP20" s="11"/>
    </row>
    <row r="21" spans="1:42" x14ac:dyDescent="0.25">
      <c r="A21" s="50" t="str">
        <f>IF($AK$5="","",IF(VLOOKUP($AK$5,m_facturas[],10,FALSE)="","",VLOOKUP($AK$5,m_facturas[],10,FALSE)))</f>
        <v/>
      </c>
      <c r="B21" s="51"/>
      <c r="C21" s="52"/>
      <c r="D21" s="36" t="str">
        <f>IF(A21="","",(VLOOKUP(A21,M_Productos[],2,FALSE)))</f>
        <v/>
      </c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50" t="str">
        <f>IF(A21="","",VLOOKUP($AK$5,m_facturas[],23,FALSE))</f>
        <v/>
      </c>
      <c r="V21" s="51"/>
      <c r="W21" s="52"/>
      <c r="X21" s="35" t="str">
        <f>IF(A21="","",(VLOOKUP(A21,M_Productos[],4,FALSE)*VLOOKUP($A21,M_Productos[],3,FALSE)*U21))</f>
        <v/>
      </c>
      <c r="Y21" s="35"/>
      <c r="Z21" s="35"/>
      <c r="AA21" s="35"/>
      <c r="AB21" s="35"/>
      <c r="AC21" s="35"/>
      <c r="AD21" s="53" t="str">
        <f>IF(A21="","",((VLOOKUP(A21,M_Productos[],4,FALSE) + X21)*U21))</f>
        <v/>
      </c>
      <c r="AE21" s="54"/>
      <c r="AF21" s="54"/>
      <c r="AG21" s="54"/>
      <c r="AH21" s="54"/>
      <c r="AI21" s="54"/>
      <c r="AJ21" s="54"/>
      <c r="AK21" s="54"/>
      <c r="AL21" s="54"/>
      <c r="AM21" s="54"/>
      <c r="AN21" s="55"/>
      <c r="AP21" s="11"/>
    </row>
    <row r="22" spans="1:42" x14ac:dyDescent="0.25">
      <c r="A22" s="50" t="str">
        <f>IF($AK$5="","",IF(VLOOKUP($AK$5,m_facturas[],11,FALSE)="","",VLOOKUP($AK$5,m_facturas[],11,FALSE)))</f>
        <v/>
      </c>
      <c r="B22" s="51"/>
      <c r="C22" s="52"/>
      <c r="D22" s="36" t="str">
        <f>IF(A22="","",(VLOOKUP(A22,M_Productos[],2,FALSE)))</f>
        <v/>
      </c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50" t="str">
        <f>IF(A22="","",VLOOKUP($AK$5,m_facturas[],24,FALSE))</f>
        <v/>
      </c>
      <c r="V22" s="51"/>
      <c r="W22" s="52"/>
      <c r="X22" s="35" t="str">
        <f>IF(A22="","",(VLOOKUP(A22,M_Productos[],4,FALSE)*VLOOKUP($A22,M_Productos[],3,FALSE)*U22))</f>
        <v/>
      </c>
      <c r="Y22" s="35"/>
      <c r="Z22" s="35"/>
      <c r="AA22" s="35"/>
      <c r="AB22" s="35"/>
      <c r="AC22" s="35"/>
      <c r="AD22" s="53" t="str">
        <f>IF(A22="","",((VLOOKUP(A22,M_Productos[],4,FALSE) + X22)*U22))</f>
        <v/>
      </c>
      <c r="AE22" s="54"/>
      <c r="AF22" s="54"/>
      <c r="AG22" s="54"/>
      <c r="AH22" s="54"/>
      <c r="AI22" s="54"/>
      <c r="AJ22" s="54"/>
      <c r="AK22" s="54"/>
      <c r="AL22" s="54"/>
      <c r="AM22" s="54"/>
      <c r="AN22" s="55"/>
      <c r="AP22" s="11"/>
    </row>
    <row r="23" spans="1:42" x14ac:dyDescent="0.25">
      <c r="A23" s="50" t="str">
        <f>IF($AK$5="","",IF(VLOOKUP($AK$5,m_facturas[],12,FALSE)="","",VLOOKUP($AK$5,m_facturas[],12,FALSE)))</f>
        <v/>
      </c>
      <c r="B23" s="51"/>
      <c r="C23" s="52"/>
      <c r="D23" s="36" t="str">
        <f>IF(A23="","",(VLOOKUP(A23,M_Productos[],2,FALSE)))</f>
        <v/>
      </c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50" t="str">
        <f>IF(A23="","",VLOOKUP($AK$5,m_facturas[],25,FALSE))</f>
        <v/>
      </c>
      <c r="V23" s="51"/>
      <c r="W23" s="52"/>
      <c r="X23" s="35" t="str">
        <f>IF(A23="","",(VLOOKUP(A23,M_Productos[],4,FALSE)*VLOOKUP($A23,M_Productos[],3,FALSE)*U23))</f>
        <v/>
      </c>
      <c r="Y23" s="35"/>
      <c r="Z23" s="35"/>
      <c r="AA23" s="35"/>
      <c r="AB23" s="35"/>
      <c r="AC23" s="35"/>
      <c r="AD23" s="53" t="str">
        <f>IF(A23="","",((VLOOKUP(A23,M_Productos[],4,FALSE) + X23)*U23))</f>
        <v/>
      </c>
      <c r="AE23" s="54"/>
      <c r="AF23" s="54"/>
      <c r="AG23" s="54"/>
      <c r="AH23" s="54"/>
      <c r="AI23" s="54"/>
      <c r="AJ23" s="54"/>
      <c r="AK23" s="54"/>
      <c r="AL23" s="54"/>
      <c r="AM23" s="54"/>
      <c r="AN23" s="55"/>
      <c r="AP23" s="11"/>
    </row>
    <row r="24" spans="1:42" x14ac:dyDescent="0.25">
      <c r="A24" s="50" t="str">
        <f>IF($AK$5="","",IF(VLOOKUP($AK$5,m_facturas[],13,FALSE)="","",VLOOKUP($AK$5,m_facturas[],13,FALSE)))</f>
        <v/>
      </c>
      <c r="B24" s="51"/>
      <c r="C24" s="52"/>
      <c r="D24" s="36" t="str">
        <f>IF(A24="","",(VLOOKUP(A24,M_Productos[],2,FALSE)))</f>
        <v/>
      </c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50" t="str">
        <f>IF(A24="","",VLOOKUP($AK$5,m_facturas[],26,FALSE))</f>
        <v/>
      </c>
      <c r="V24" s="51"/>
      <c r="W24" s="52"/>
      <c r="X24" s="35" t="str">
        <f>IF(A24="","",(VLOOKUP(A24,M_Productos[],4,FALSE)*VLOOKUP($A24,M_Productos[],3,FALSE)*U24))</f>
        <v/>
      </c>
      <c r="Y24" s="35"/>
      <c r="Z24" s="35"/>
      <c r="AA24" s="35"/>
      <c r="AB24" s="35"/>
      <c r="AC24" s="35"/>
      <c r="AD24" s="53" t="str">
        <f>IF(A24="","",((VLOOKUP(A24,M_Productos[],4,FALSE) + X24)*U24))</f>
        <v/>
      </c>
      <c r="AE24" s="54"/>
      <c r="AF24" s="54"/>
      <c r="AG24" s="54"/>
      <c r="AH24" s="54"/>
      <c r="AI24" s="54"/>
      <c r="AJ24" s="54"/>
      <c r="AK24" s="54"/>
      <c r="AL24" s="54"/>
      <c r="AM24" s="54"/>
      <c r="AN24" s="55"/>
      <c r="AP24" s="11"/>
    </row>
    <row r="25" spans="1:42" x14ac:dyDescent="0.25">
      <c r="A25" s="50" t="str">
        <f>IF($AK$5="","",IF(VLOOKUP($AK$5,m_facturas[],14,FALSE)="","",VLOOKUP($AK$5,m_facturas[],14,FALSE)))</f>
        <v/>
      </c>
      <c r="B25" s="51"/>
      <c r="C25" s="52"/>
      <c r="D25" s="36" t="str">
        <f>IF(A25="","",(VLOOKUP(A25,M_Productos[],2,FALSE)))</f>
        <v/>
      </c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50" t="str">
        <f>IF(A25="","",VLOOKUP($AK$5,m_facturas[],27,FALSE))</f>
        <v/>
      </c>
      <c r="V25" s="51"/>
      <c r="W25" s="52"/>
      <c r="X25" s="35" t="str">
        <f>IF(A25="","",(VLOOKUP(A25,M_Productos[],4,FALSE)*VLOOKUP($A25,M_Productos[],3,FALSE)*U25))</f>
        <v/>
      </c>
      <c r="Y25" s="35"/>
      <c r="Z25" s="35"/>
      <c r="AA25" s="35"/>
      <c r="AB25" s="35"/>
      <c r="AC25" s="35"/>
      <c r="AD25" s="53" t="str">
        <f>IF(A25="","",((VLOOKUP(A25,M_Productos[],4,FALSE) + X25)*U25))</f>
        <v/>
      </c>
      <c r="AE25" s="54"/>
      <c r="AF25" s="54"/>
      <c r="AG25" s="54"/>
      <c r="AH25" s="54"/>
      <c r="AI25" s="54"/>
      <c r="AJ25" s="54"/>
      <c r="AK25" s="54"/>
      <c r="AL25" s="54"/>
      <c r="AM25" s="54"/>
      <c r="AN25" s="55"/>
      <c r="AP25" s="11"/>
    </row>
    <row r="26" spans="1:42" x14ac:dyDescent="0.25">
      <c r="A26" s="50" t="str">
        <f>IF($AK$5="","",IF(VLOOKUP($AK$5,m_facturas[],15,FALSE)="","",VLOOKUP($AK$5,m_facturas[],15,FALSE)))</f>
        <v/>
      </c>
      <c r="B26" s="51"/>
      <c r="C26" s="52"/>
      <c r="D26" s="36" t="str">
        <f>IF(A26="","",(VLOOKUP(A26,M_Productos[],2,FALSE)))</f>
        <v/>
      </c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50" t="str">
        <f>IF(A26="","",VLOOKUP($AK$5,m_facturas[],28,FALSE))</f>
        <v/>
      </c>
      <c r="V26" s="51"/>
      <c r="W26" s="52"/>
      <c r="X26" s="35" t="str">
        <f>IF(A26="","",(VLOOKUP(A26,M_Productos[],4,FALSE)*VLOOKUP($A26,M_Productos[],3,FALSE)*U26))</f>
        <v/>
      </c>
      <c r="Y26" s="35"/>
      <c r="Z26" s="35"/>
      <c r="AA26" s="35"/>
      <c r="AB26" s="35"/>
      <c r="AC26" s="35"/>
      <c r="AD26" s="53" t="str">
        <f>IF(A26="","",((VLOOKUP(A26,M_Productos[],4,FALSE) + X26)*U26))</f>
        <v/>
      </c>
      <c r="AE26" s="54"/>
      <c r="AF26" s="54"/>
      <c r="AG26" s="54"/>
      <c r="AH26" s="54"/>
      <c r="AI26" s="54"/>
      <c r="AJ26" s="54"/>
      <c r="AK26" s="54"/>
      <c r="AL26" s="54"/>
      <c r="AM26" s="54"/>
      <c r="AN26" s="55"/>
      <c r="AP26" s="11"/>
    </row>
    <row r="27" spans="1:42" x14ac:dyDescent="0.25">
      <c r="A27" s="50" t="str">
        <f>IF($AK$5="","",IF(VLOOKUP($AK$5,m_facturas[],16,FALSE)="","",VLOOKUP($AK$5,m_facturas[],16,FALSE)))</f>
        <v/>
      </c>
      <c r="B27" s="51"/>
      <c r="C27" s="52"/>
      <c r="D27" s="36" t="str">
        <f>IF(A27="","",(VLOOKUP(A27,M_Productos[],2,FALSE)))</f>
        <v/>
      </c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50" t="str">
        <f>IF(A27="","",VLOOKUP($AK$5,m_facturas[],29,FALSE))</f>
        <v/>
      </c>
      <c r="V27" s="51"/>
      <c r="W27" s="52"/>
      <c r="X27" s="35" t="str">
        <f>IF(A27="","",(VLOOKUP(A27,M_Productos[],4,FALSE)*VLOOKUP($A27,M_Productos[],3,FALSE)*U27))</f>
        <v/>
      </c>
      <c r="Y27" s="35"/>
      <c r="Z27" s="35"/>
      <c r="AA27" s="35"/>
      <c r="AB27" s="35"/>
      <c r="AC27" s="35"/>
      <c r="AD27" s="53" t="str">
        <f>IF(A27="","",((VLOOKUP(A27,M_Productos[],4,FALSE) + X27)*U27))</f>
        <v/>
      </c>
      <c r="AE27" s="54"/>
      <c r="AF27" s="54"/>
      <c r="AG27" s="54"/>
      <c r="AH27" s="54"/>
      <c r="AI27" s="54"/>
      <c r="AJ27" s="54"/>
      <c r="AK27" s="54"/>
      <c r="AL27" s="54"/>
      <c r="AM27" s="54"/>
      <c r="AN27" s="55"/>
      <c r="AP27" s="11"/>
    </row>
    <row r="28" spans="1:42" ht="20.25" customHeight="1" x14ac:dyDescent="0.25">
      <c r="A28" s="32" t="s">
        <v>15</v>
      </c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3">
        <f>SUM(AD15:AN27)- SUM(X15:AC27)</f>
        <v>0</v>
      </c>
      <c r="AE28" s="33"/>
      <c r="AF28" s="33"/>
      <c r="AG28" s="33"/>
      <c r="AH28" s="33"/>
      <c r="AI28" s="33"/>
      <c r="AJ28" s="33"/>
      <c r="AK28" s="33"/>
      <c r="AL28" s="33"/>
      <c r="AM28" s="33"/>
      <c r="AN28" s="33"/>
    </row>
    <row r="29" spans="1:42" ht="18" customHeight="1" x14ac:dyDescent="0.25">
      <c r="A29" s="32" t="s">
        <v>16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3">
        <f>SUM(X15:AC27)</f>
        <v>0</v>
      </c>
      <c r="AE29" s="33"/>
      <c r="AF29" s="33"/>
      <c r="AG29" s="33"/>
      <c r="AH29" s="33"/>
      <c r="AI29" s="33"/>
      <c r="AJ29" s="33"/>
      <c r="AK29" s="33"/>
      <c r="AL29" s="33"/>
      <c r="AM29" s="33"/>
      <c r="AN29" s="33"/>
    </row>
    <row r="30" spans="1:42" ht="21" customHeight="1" x14ac:dyDescent="0.25">
      <c r="A30" s="32" t="s">
        <v>17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>
        <f>SUM(AD28:AN29)</f>
        <v>0</v>
      </c>
      <c r="AE30" s="34"/>
      <c r="AF30" s="34"/>
      <c r="AG30" s="34"/>
      <c r="AH30" s="34"/>
      <c r="AI30" s="34"/>
      <c r="AJ30" s="34"/>
      <c r="AK30" s="34"/>
      <c r="AL30" s="34"/>
      <c r="AM30" s="34"/>
      <c r="AN30" s="34"/>
    </row>
    <row r="31" spans="1:42" ht="18" customHeight="1" x14ac:dyDescent="0.25">
      <c r="A31" s="32" t="s">
        <v>18</v>
      </c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3">
        <f>IF(AD28&lt;1000000,+AD28-AD30*2%,IF(AD28&lt;5000000,+AD28-AD30*5%,IF(AD28&lt;10000000,+AD28-AD30*10%,IF(AD28&lt;30000000,+AD28-AD30*15%,IF(AD28&gt;30000000,+AD28-AD30*20%)))))</f>
        <v>0</v>
      </c>
      <c r="AE31" s="33"/>
      <c r="AF31" s="33"/>
      <c r="AG31" s="33"/>
      <c r="AH31" s="33"/>
      <c r="AI31" s="33"/>
      <c r="AJ31" s="33"/>
      <c r="AK31" s="33"/>
      <c r="AL31" s="33"/>
      <c r="AM31" s="33"/>
      <c r="AN31" s="33"/>
    </row>
    <row r="34" spans="2:5" x14ac:dyDescent="0.25">
      <c r="B34" s="46"/>
      <c r="C34" s="46"/>
      <c r="D34" s="46"/>
      <c r="E34" s="46"/>
    </row>
    <row r="35" spans="2:5" x14ac:dyDescent="0.25">
      <c r="B35" s="46"/>
      <c r="C35" s="46"/>
      <c r="D35" s="46"/>
      <c r="E35" s="46"/>
    </row>
  </sheetData>
  <sheetProtection sheet="1" objects="1" scenarios="1"/>
  <protectedRanges>
    <protectedRange sqref="AK5:AM5" name="Rango1"/>
  </protectedRanges>
  <dataConsolidate function="max"/>
  <mergeCells count="95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15:C15"/>
    <mergeCell ref="D15:T15"/>
    <mergeCell ref="U15:W15"/>
    <mergeCell ref="X15:AC15"/>
    <mergeCell ref="AD15:AN15"/>
    <mergeCell ref="A14:C14"/>
    <mergeCell ref="D14:T14"/>
    <mergeCell ref="U14:W14"/>
    <mergeCell ref="X14:AC14"/>
    <mergeCell ref="AD14:AN14"/>
    <mergeCell ref="AP13:AR13"/>
    <mergeCell ref="A1:E6"/>
    <mergeCell ref="AK1:AM1"/>
    <mergeCell ref="AK2:AM2"/>
    <mergeCell ref="O3:Z3"/>
    <mergeCell ref="AK4:AM4"/>
    <mergeCell ref="O5:Y5"/>
    <mergeCell ref="AK5:AM5"/>
    <mergeCell ref="F9:K9"/>
    <mergeCell ref="P9:Z9"/>
    <mergeCell ref="F10:K10"/>
    <mergeCell ref="P10:Z10"/>
    <mergeCell ref="F11:K11"/>
    <mergeCell ref="P11:Z11"/>
    <mergeCell ref="F12:H12"/>
    <mergeCell ref="P12:Z12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custom" allowBlank="1" showInputMessage="1" showErrorMessage="1" sqref="A15:C27" xr:uid="{EFFA5A8C-489D-4B85-9C0E-1C2D1296065A}">
      <formula1>AK4&lt;&gt; ""</formula1>
    </dataValidation>
  </dataValidations>
  <pageMargins left="0.70866141732283472" right="0.70866141732283472" top="0.78740157480314965" bottom="0.74803149606299213" header="0.31496062992125984" footer="0.31496062992125984"/>
  <pageSetup scale="8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4"/>
  <sheetViews>
    <sheetView zoomScaleNormal="100" workbookViewId="0">
      <selection activeCell="N3" sqref="N3"/>
    </sheetView>
  </sheetViews>
  <sheetFormatPr baseColWidth="10" defaultColWidth="3" defaultRowHeight="15" x14ac:dyDescent="0.25"/>
  <cols>
    <col min="5" max="5" width="9.140625" bestFit="1" customWidth="1"/>
    <col min="6" max="6" width="16.140625" bestFit="1" customWidth="1"/>
    <col min="7" max="7" width="8.28515625" bestFit="1" customWidth="1"/>
    <col min="8" max="33" width="6.42578125" bestFit="1" customWidth="1"/>
    <col min="34" max="45" width="6.42578125" customWidth="1"/>
  </cols>
  <sheetData>
    <row r="1" spans="5:33" x14ac:dyDescent="0.25">
      <c r="E1" s="4">
        <v>1</v>
      </c>
      <c r="F1" s="4">
        <v>2</v>
      </c>
      <c r="G1" s="4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13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26">
        <v>1</v>
      </c>
      <c r="F3" s="13" t="s">
        <v>48</v>
      </c>
      <c r="G3" s="27">
        <v>44786</v>
      </c>
      <c r="H3" s="28" t="s">
        <v>52</v>
      </c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>
        <v>1</v>
      </c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</row>
    <row r="4" spans="5:33" x14ac:dyDescent="0.25">
      <c r="E4" s="26">
        <v>0</v>
      </c>
      <c r="F4" s="13" t="s">
        <v>50</v>
      </c>
      <c r="G4" s="27">
        <v>44786</v>
      </c>
      <c r="H4" s="28"/>
      <c r="I4" s="28" t="s">
        <v>85</v>
      </c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>
        <v>1</v>
      </c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2022-08-13T17:28:51Z</dcterms:modified>
  <cp:category/>
  <cp:contentStatus/>
</cp:coreProperties>
</file>
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dor.JANUS-3065\OneDrive\Sena\Sistemas\Tics\3 Trimestrre\Macros\Factura Sena\"/>
    </mc:Choice>
  </mc:AlternateContent>
  <xr:revisionPtr revIDLastSave="0" documentId="13_ncr:1_{01CB359B-1058-467C-97F5-A712DA499F64}" xr6:coauthVersionLast="47" xr6:coauthVersionMax="47" xr10:uidLastSave="{00000000-0000-0000-0000-000000000000}"/>
  <bookViews>
    <workbookView xWindow="-108" yWindow="-108" windowWidth="23256" windowHeight="13176" xr2:uid="{E7BCC358-6F38-4867-B30C-32EEB422F7F0}"/>
  </bookViews>
  <sheets>
    <sheet name="BUSQUEDA" sheetId="2" r:id="rId1"/>
    <sheet name="FACTURAS" sheetId="8" r:id="rId2"/>
    <sheet name="MEMORIA" sheetId="6" r:id="rId3"/>
    <sheet name="EMPLEADOS" sheetId="4" r:id="rId4"/>
    <sheet name="PRODUCTOS" sheetId="3" r:id="rId5"/>
  </sheets>
  <definedNames>
    <definedName name="_xlnm._FilterDatabase" localSheetId="0" hidden="1">BUSQUEDA!$D$15:$T$27</definedName>
    <definedName name="_xlnm._FilterDatabase" localSheetId="1" hidden="1">FACTURAS!$E$3:$E$5</definedName>
    <definedName name="Cod_Product">FACTURAS!$E$3:$E$5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0" i="2" l="1"/>
  <c r="P11" i="2" s="1"/>
  <c r="P12" i="2" s="1"/>
  <c r="AK2" i="2"/>
  <c r="X26" i="2"/>
  <c r="AD26" i="2" s="1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7" i="2"/>
  <c r="AD27" i="2" s="1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28" i="2" l="1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<sst xmlns="http://schemas.openxmlformats.org/spreadsheetml/2006/main" count="94" uniqueCount="83">
  <si>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</si>
  <si>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</si>
  <si>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</si>
  <si>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</si>
  <si>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</si>
  <si>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</si>
  <si>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</si>
  <si>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</si>
  <si>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</si>
  <si>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</si>
  <si>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</si>
  <si>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</si>
  <si>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</si>
  <si>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</si>
  <si>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</si>
  <si>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</si>
  <si>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</si>
  <si>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</si>
  <si>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</si>
  <si>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</si>
  <si>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</si>
  <si>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</si>
  <si>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</si>
  <si>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</si>
  <si>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</si>
  <si>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</si>
  <si>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</si>
  <si>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</si>
  <si>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</si>
  <si>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</si>
  <si>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</si>
  <si>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</si>
  <si>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</si>
  <si>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</si>
  <si>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</si>
  <si>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</si>
  <si>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</si>
  <si>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</si>
  <si>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</si>
  <si>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</si>
  <si>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</si>
  <si>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</si>
  <si>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</si>
  <si>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</si>
  <si>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</si>
  <si>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</si>
  <si>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</si>
  <si>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</si>
  <si>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</si>
  <si>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</si>
  <si>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</si>
  <si>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</si>
  <si>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</si>
  <si>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</si>
  <si>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</si>
  <si>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</si>
  <si>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</si>
  <si>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</si>
  <si>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</si>
  <si>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</si>
  <si>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</si>
  <si>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</si>
  <si>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</si>
  <si>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</si>
  <si>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</si>
  <si>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</si>
  <si>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Fecha</t>
  </si>
  <si>
    <t>No Factura</t>
  </si>
  <si>
    <t>Codigo</t>
  </si>
  <si>
    <t>Facturas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</si>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</sst>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0" fontId="0" fillId="0" borderId="0" xfId="0"/>
    <xf numFmtId="2" fontId="0" fillId="0" borderId="0" xfId="0" applyNumberFormat="1"/>
    <xf numFmtId="0" fontId="0" fillId="0" borderId="0" xfId="0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6" fontId="0" fillId="0" borderId="12" xfId="0" applyNumberFormat="1" applyBorder="1" applyAlignment="1"/>
    <xf numFmtId="0" fontId="0" fillId="0" borderId="7" xfId="0" applyBorder="1" applyAlignment="1">
      <alignment horizontal="center" vertical="center"/>
    </xf>
    <xf numFmtId="166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43" fontId="0" fillId="0" borderId="10" xfId="3" applyFont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6">
    <dxf>
      <numFmt numFmtId="166" formatCode="&quot;ABC - &quot;000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FA4CBF-52C4-408C-A00A-DD5FE40AA7CF}" name="Cod_Factura" displayName="Cod_Factura" ref="E2:E5" totalsRowShown="0" headerRowDxfId="5" dataDxfId="3" headerRowBorderDxfId="4" tableBorderDxfId="2" totalsRowBorderDxfId="1">
  <tableColumns count="1">
    <tableColumn id="1" xr3:uid="{5FAC68C3-491D-44D5-A490-710BE5690ADF}" name="Codi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70" zoomScaleNormal="70" workbookViewId="0">
      <selection activeCell="AS22" sqref="AS22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29"/>
      <c r="B1" s="23"/>
      <c r="C1" s="23"/>
      <c r="D1" s="23"/>
      <c r="E1" s="2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23" t="s">
        <v>0</v>
      </c>
      <c r="AL1" s="23"/>
      <c r="AM1" s="23"/>
      <c r="AN1" s="13"/>
    </row>
    <row r="2" spans="1:42" x14ac:dyDescent="0.3">
      <c r="A2" s="30"/>
      <c r="B2" s="22"/>
      <c r="C2" s="22"/>
      <c r="D2" s="22"/>
      <c r="E2" s="22"/>
      <c r="AK2" s="32">
        <f ca="1">TODAY()</f>
        <v>44781</v>
      </c>
      <c r="AL2" s="32"/>
      <c r="AM2" s="32"/>
      <c r="AN2" s="11"/>
    </row>
    <row r="3" spans="1:42" x14ac:dyDescent="0.3">
      <c r="A3" s="30"/>
      <c r="B3" s="22"/>
      <c r="C3" s="22"/>
      <c r="D3" s="22"/>
      <c r="E3" s="22"/>
      <c r="O3" s="26" t="s">
        <v>1</v>
      </c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N3" s="3"/>
    </row>
    <row r="4" spans="1:42" x14ac:dyDescent="0.3">
      <c r="A4" s="30"/>
      <c r="B4" s="22"/>
      <c r="C4" s="22"/>
      <c r="D4" s="22"/>
      <c r="E4" s="22"/>
      <c r="AK4" s="22" t="s">
        <v>67</v>
      </c>
      <c r="AL4" s="22"/>
      <c r="AM4" s="22"/>
      <c r="AN4" s="12"/>
    </row>
    <row r="5" spans="1:42" ht="15" customHeight="1" x14ac:dyDescent="0.3">
      <c r="A5" s="30"/>
      <c r="B5" s="22"/>
      <c r="C5" s="22"/>
      <c r="D5" s="22"/>
      <c r="E5" s="22"/>
      <c r="O5" s="22" t="s">
        <v>2</v>
      </c>
      <c r="P5" s="22"/>
      <c r="Q5" s="22"/>
      <c r="R5" s="22"/>
      <c r="S5" s="22"/>
      <c r="T5" s="22"/>
      <c r="U5" s="22"/>
      <c r="V5" s="22"/>
      <c r="W5" s="22"/>
      <c r="X5" s="22"/>
      <c r="Y5" s="22"/>
      <c r="AJ5" t="s">
        <v>64</v>
      </c>
      <c r="AK5" s="21">
        <v>4</v>
      </c>
      <c r="AL5" s="21"/>
      <c r="AM5" s="21"/>
      <c r="AN5" s="12"/>
    </row>
    <row r="6" spans="1:42" x14ac:dyDescent="0.3">
      <c r="A6" s="30"/>
      <c r="B6" s="22"/>
      <c r="C6" s="22"/>
      <c r="D6" s="22"/>
      <c r="E6" s="22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27" t="s">
        <v>3</v>
      </c>
      <c r="G9" s="27"/>
      <c r="H9" s="27"/>
      <c r="I9" s="27"/>
      <c r="J9" s="27"/>
      <c r="K9" s="27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N9" s="3"/>
      <c r="AP9" s="14"/>
    </row>
    <row r="10" spans="1:42" ht="15" thickBot="1" x14ac:dyDescent="0.35">
      <c r="A10" s="2"/>
      <c r="F10" s="27" t="s">
        <v>5</v>
      </c>
      <c r="G10" s="27"/>
      <c r="H10" s="27"/>
      <c r="I10" s="27"/>
      <c r="J10" s="27"/>
      <c r="K10" s="27"/>
      <c r="P10" s="23" t="str">
        <f>IF(P9="","",VLOOKUP(P9,Empleados,2,FALSE))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N10" s="3"/>
    </row>
    <row r="11" spans="1:42" ht="15" thickBot="1" x14ac:dyDescent="0.35">
      <c r="A11" s="2"/>
      <c r="F11" s="27" t="s">
        <v>6</v>
      </c>
      <c r="G11" s="27"/>
      <c r="H11" s="27"/>
      <c r="I11" s="27"/>
      <c r="J11" s="27"/>
      <c r="K11" s="27"/>
      <c r="P11" s="23" t="str">
        <f>IF(P10="","",VLOOKUP(P9,Empleados,3,FALSE))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N11" s="3"/>
    </row>
    <row r="12" spans="1:42" ht="15" thickBot="1" x14ac:dyDescent="0.35">
      <c r="A12" s="2"/>
      <c r="F12" s="27" t="s">
        <v>7</v>
      </c>
      <c r="G12" s="27"/>
      <c r="H12" s="27"/>
      <c r="I12" s="9"/>
      <c r="J12" s="9"/>
      <c r="K12" s="9"/>
      <c r="P12" s="31" t="str">
        <f>IF(P11="","",VLOOKUP(P9,Empleados,4,FALSE))</f>
        <v/>
      </c>
      <c r="Q12" s="31"/>
      <c r="R12" s="31"/>
      <c r="S12" s="31"/>
      <c r="T12" s="31"/>
      <c r="U12" s="31"/>
      <c r="V12" s="31"/>
      <c r="W12" s="31"/>
      <c r="X12" s="31"/>
      <c r="Y12" s="31"/>
      <c r="Z12" s="31"/>
      <c r="AN12" s="3"/>
    </row>
    <row r="13" spans="1:42" x14ac:dyDescent="0.3">
      <c r="A13" s="2"/>
      <c r="AN13" s="3"/>
    </row>
    <row r="14" spans="1:42" x14ac:dyDescent="0.3">
      <c r="A14" s="25" t="s">
        <v>8</v>
      </c>
      <c r="B14" s="25"/>
      <c r="C14" s="25"/>
      <c r="D14" s="25" t="s">
        <v>9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 t="s">
        <v>10</v>
      </c>
      <c r="V14" s="25"/>
      <c r="W14" s="25"/>
      <c r="X14" s="25" t="s">
        <v>11</v>
      </c>
      <c r="Y14" s="25"/>
      <c r="Z14" s="25"/>
      <c r="AA14" s="25"/>
      <c r="AB14" s="25"/>
      <c r="AC14" s="25"/>
      <c r="AD14" s="25" t="s">
        <v>12</v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</row>
    <row r="15" spans="1:42" x14ac:dyDescent="0.3">
      <c r="A15" s="33"/>
      <c r="B15" s="33"/>
      <c r="C15" s="33"/>
      <c r="D15" s="34" t="str">
        <f t="shared" ref="D15:D27" si="0">IF(A15="","",(VLOOKUP(A15,LISTA,2,FALSE)))</f>
        <v/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6"/>
      <c r="V15" s="37"/>
      <c r="W15" s="38"/>
      <c r="X15" s="35" t="str">
        <f t="shared" ref="X15:X27" si="1">IF(A15="","",(VLOOKUP(A15,LISTA,4,FALSE)*VLOOKUP($A15,LISTA,3,FALSE)*U15))</f>
        <v/>
      </c>
      <c r="Y15" s="35"/>
      <c r="Z15" s="35"/>
      <c r="AA15" s="35"/>
      <c r="AB15" s="35"/>
      <c r="AC15" s="35"/>
      <c r="AD15" s="35" t="str">
        <f t="shared" ref="AD15:AD27" si="2">IF(A15="","",((VLOOKUP(A15,LISTA,4,FALSE)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5"/>
    </row>
    <row r="16" spans="1:42" x14ac:dyDescent="0.3">
      <c r="A16" s="33"/>
      <c r="B16" s="33"/>
      <c r="C16" s="33"/>
      <c r="D16" s="34" t="str">
        <f t="shared" si="0"/>
        <v/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6"/>
      <c r="V16" s="37"/>
      <c r="W16" s="38"/>
      <c r="X16" s="35" t="str">
        <f t="shared" si="1"/>
        <v/>
      </c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P16" s="15"/>
    </row>
    <row r="17" spans="1:42" x14ac:dyDescent="0.3">
      <c r="A17" s="33"/>
      <c r="B17" s="33"/>
      <c r="C17" s="33"/>
      <c r="D17" s="34" t="str">
        <f t="shared" si="0"/>
        <v/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6"/>
      <c r="V17" s="37"/>
      <c r="W17" s="38"/>
      <c r="X17" s="35" t="str">
        <f t="shared" si="1"/>
        <v/>
      </c>
      <c r="Y17" s="35"/>
      <c r="Z17" s="35"/>
      <c r="AA17" s="35"/>
      <c r="AB17" s="35"/>
      <c r="AC17" s="35"/>
      <c r="AD17" s="35" t="str">
        <f t="shared" si="2"/>
        <v/>
      </c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P17" s="15"/>
    </row>
    <row r="18" spans="1:42" x14ac:dyDescent="0.3">
      <c r="A18" s="33"/>
      <c r="B18" s="33"/>
      <c r="C18" s="33"/>
      <c r="D18" s="34" t="str">
        <f t="shared" si="0"/>
        <v/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6"/>
      <c r="V18" s="37"/>
      <c r="W18" s="38"/>
      <c r="X18" s="35" t="str">
        <f t="shared" si="1"/>
        <v/>
      </c>
      <c r="Y18" s="35"/>
      <c r="Z18" s="35"/>
      <c r="AA18" s="35"/>
      <c r="AB18" s="35"/>
      <c r="AC18" s="35"/>
      <c r="AD18" s="35" t="str">
        <f t="shared" si="2"/>
        <v/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P18" s="15"/>
    </row>
    <row r="19" spans="1:42" x14ac:dyDescent="0.3">
      <c r="A19" s="33"/>
      <c r="B19" s="33"/>
      <c r="C19" s="33"/>
      <c r="D19" s="34" t="str">
        <f t="shared" si="0"/>
        <v/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6"/>
      <c r="V19" s="37"/>
      <c r="W19" s="38"/>
      <c r="X19" s="35" t="str">
        <f t="shared" si="1"/>
        <v/>
      </c>
      <c r="Y19" s="35"/>
      <c r="Z19" s="35"/>
      <c r="AA19" s="35"/>
      <c r="AB19" s="35"/>
      <c r="AC19" s="35"/>
      <c r="AD19" s="35" t="str">
        <f t="shared" si="2"/>
        <v/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5"/>
    </row>
    <row r="20" spans="1:42" x14ac:dyDescent="0.3">
      <c r="A20" s="33"/>
      <c r="B20" s="33"/>
      <c r="C20" s="33"/>
      <c r="D20" s="34" t="str">
        <f t="shared" si="0"/>
        <v/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6"/>
      <c r="V20" s="37"/>
      <c r="W20" s="38"/>
      <c r="X20" s="35" t="str">
        <f t="shared" si="1"/>
        <v/>
      </c>
      <c r="Y20" s="35"/>
      <c r="Z20" s="35"/>
      <c r="AA20" s="35"/>
      <c r="AB20" s="35"/>
      <c r="AC20" s="35"/>
      <c r="AD20" s="35" t="str">
        <f t="shared" si="2"/>
        <v/>
      </c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P20" s="15"/>
    </row>
    <row r="21" spans="1:42" x14ac:dyDescent="0.3">
      <c r="A21" s="33"/>
      <c r="B21" s="33"/>
      <c r="C21" s="33"/>
      <c r="D21" s="34" t="str">
        <f t="shared" si="0"/>
        <v/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6"/>
      <c r="V21" s="37"/>
      <c r="W21" s="38"/>
      <c r="X21" s="35" t="str">
        <f t="shared" si="1"/>
        <v/>
      </c>
      <c r="Y21" s="35"/>
      <c r="Z21" s="35"/>
      <c r="AA21" s="35"/>
      <c r="AB21" s="35"/>
      <c r="AC21" s="35"/>
      <c r="AD21" s="35" t="str">
        <f t="shared" si="2"/>
        <v/>
      </c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P21" s="15"/>
    </row>
    <row r="22" spans="1:42" x14ac:dyDescent="0.3">
      <c r="A22" s="33"/>
      <c r="B22" s="33"/>
      <c r="C22" s="33"/>
      <c r="D22" s="34" t="str">
        <f t="shared" si="0"/>
        <v/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6"/>
      <c r="V22" s="37"/>
      <c r="W22" s="38"/>
      <c r="X22" s="35" t="str">
        <f t="shared" si="1"/>
        <v/>
      </c>
      <c r="Y22" s="35"/>
      <c r="Z22" s="35"/>
      <c r="AA22" s="35"/>
      <c r="AB22" s="35"/>
      <c r="AC22" s="35"/>
      <c r="AD22" s="35" t="str">
        <f t="shared" si="2"/>
        <v/>
      </c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P22" s="15"/>
    </row>
    <row r="23" spans="1:42" x14ac:dyDescent="0.3">
      <c r="A23" s="33"/>
      <c r="B23" s="33"/>
      <c r="C23" s="33"/>
      <c r="D23" s="34" t="str">
        <f t="shared" si="0"/>
        <v/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6"/>
      <c r="V23" s="37"/>
      <c r="W23" s="38"/>
      <c r="X23" s="35" t="str">
        <f t="shared" si="1"/>
        <v/>
      </c>
      <c r="Y23" s="35"/>
      <c r="Z23" s="35"/>
      <c r="AA23" s="35"/>
      <c r="AB23" s="35"/>
      <c r="AC23" s="35"/>
      <c r="AD23" s="35" t="str">
        <f t="shared" si="2"/>
        <v/>
      </c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P23" s="15"/>
    </row>
    <row r="24" spans="1:42" x14ac:dyDescent="0.3">
      <c r="A24" s="33"/>
      <c r="B24" s="33"/>
      <c r="C24" s="33"/>
      <c r="D24" s="34" t="str">
        <f t="shared" si="0"/>
        <v/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6"/>
      <c r="V24" s="37"/>
      <c r="W24" s="38"/>
      <c r="X24" s="35" t="str">
        <f t="shared" si="1"/>
        <v/>
      </c>
      <c r="Y24" s="35"/>
      <c r="Z24" s="35"/>
      <c r="AA24" s="35"/>
      <c r="AB24" s="35"/>
      <c r="AC24" s="35"/>
      <c r="AD24" s="35" t="str">
        <f t="shared" si="2"/>
        <v/>
      </c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P24" s="15"/>
    </row>
    <row r="25" spans="1:42" x14ac:dyDescent="0.3">
      <c r="A25" s="33"/>
      <c r="B25" s="33"/>
      <c r="C25" s="33"/>
      <c r="D25" s="34" t="str">
        <f t="shared" si="0"/>
        <v/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6"/>
      <c r="V25" s="37"/>
      <c r="W25" s="38"/>
      <c r="X25" s="35" t="str">
        <f t="shared" si="1"/>
        <v/>
      </c>
      <c r="Y25" s="35"/>
      <c r="Z25" s="35"/>
      <c r="AA25" s="35"/>
      <c r="AB25" s="35"/>
      <c r="AC25" s="35"/>
      <c r="AD25" s="35" t="str">
        <f t="shared" si="2"/>
        <v/>
      </c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P25" s="15"/>
    </row>
    <row r="26" spans="1:42" x14ac:dyDescent="0.3">
      <c r="A26" s="33"/>
      <c r="B26" s="33"/>
      <c r="C26" s="33"/>
      <c r="D26" s="34" t="str">
        <f t="shared" si="0"/>
        <v/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6"/>
      <c r="V26" s="37"/>
      <c r="W26" s="38"/>
      <c r="X26" s="35" t="str">
        <f>IF(A26="","",(VLOOKUP(A26,LISTA,4,FALSE)*VLOOKUP($A26,LISTA,3,FALSE)*U26))</f>
        <v/>
      </c>
      <c r="Y26" s="35"/>
      <c r="Z26" s="35"/>
      <c r="AA26" s="35"/>
      <c r="AB26" s="35"/>
      <c r="AC26" s="35"/>
      <c r="AD26" s="35" t="str">
        <f t="shared" si="2"/>
        <v/>
      </c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P26" s="15"/>
    </row>
    <row r="27" spans="1:42" x14ac:dyDescent="0.3">
      <c r="A27" s="33"/>
      <c r="B27" s="33"/>
      <c r="C27" s="33"/>
      <c r="D27" s="34" t="str">
        <f t="shared" si="0"/>
        <v/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6"/>
      <c r="V27" s="37"/>
      <c r="W27" s="38"/>
      <c r="X27" s="35" t="str">
        <f t="shared" si="1"/>
        <v/>
      </c>
      <c r="Y27" s="35"/>
      <c r="Z27" s="35"/>
      <c r="AA27" s="35"/>
      <c r="AB27" s="35"/>
      <c r="AC27" s="35"/>
      <c r="AD27" s="35" t="str">
        <f t="shared" si="2"/>
        <v/>
      </c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P27" s="15"/>
    </row>
    <row r="28" spans="1:42" ht="20.25" customHeight="1" x14ac:dyDescent="0.3">
      <c r="A28" s="39" t="s">
        <v>21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>
        <f>SUM(AD15:AN27)- SUM(X15:AC27)</f>
        <v>0</v>
      </c>
      <c r="AE28" s="40"/>
      <c r="AF28" s="40"/>
      <c r="AG28" s="40"/>
      <c r="AH28" s="40"/>
      <c r="AI28" s="40"/>
      <c r="AJ28" s="40"/>
      <c r="AK28" s="40"/>
      <c r="AL28" s="40"/>
      <c r="AM28" s="40"/>
      <c r="AN28" s="40"/>
    </row>
    <row r="29" spans="1:42" ht="18" customHeight="1" x14ac:dyDescent="0.3">
      <c r="A29" s="39" t="s">
        <v>22</v>
      </c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40">
        <f>SUM(X15:AC27)</f>
        <v>0</v>
      </c>
      <c r="AE29" s="40"/>
      <c r="AF29" s="40"/>
      <c r="AG29" s="40"/>
      <c r="AH29" s="40"/>
      <c r="AI29" s="40"/>
      <c r="AJ29" s="40"/>
      <c r="AK29" s="40"/>
      <c r="AL29" s="40"/>
      <c r="AM29" s="40"/>
      <c r="AN29" s="40"/>
    </row>
    <row r="30" spans="1:42" ht="21" customHeight="1" x14ac:dyDescent="0.3">
      <c r="A30" s="39" t="s">
        <v>23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41">
        <f>SUM(AD28:AN29)</f>
        <v>0</v>
      </c>
      <c r="AE30" s="41"/>
      <c r="AF30" s="41"/>
      <c r="AG30" s="41"/>
      <c r="AH30" s="41"/>
      <c r="AI30" s="41"/>
      <c r="AJ30" s="41"/>
      <c r="AK30" s="41"/>
      <c r="AL30" s="41"/>
      <c r="AM30" s="41"/>
      <c r="AN30" s="41"/>
    </row>
    <row r="31" spans="1:42" ht="18" customHeight="1" x14ac:dyDescent="0.3">
      <c r="A31" s="39" t="s">
        <v>65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40">
        <f>IF(AD28&lt;1000000,+AD28-AD30*2%,IF(AD28&lt;5000000,+AD28-AD30*5%,IF(AD28&lt;10000000,+AD28-AD30*10%,IF(AD28&lt;30000000,+AD28-AD30*15%,IF(AD28&gt;30000000,+AD28-AD30*20%)))))</f>
        <v>0</v>
      </c>
      <c r="AE31" s="40"/>
      <c r="AF31" s="40"/>
      <c r="AG31" s="40"/>
      <c r="AH31" s="40"/>
      <c r="AI31" s="40"/>
      <c r="AJ31" s="40"/>
      <c r="AK31" s="40"/>
      <c r="AL31" s="40"/>
      <c r="AM31" s="40"/>
      <c r="AN31" s="40"/>
    </row>
    <row r="34" spans="2:5" x14ac:dyDescent="0.3">
      <c r="B34" s="24"/>
      <c r="C34" s="24"/>
      <c r="D34" s="24"/>
      <c r="E34" s="24"/>
    </row>
    <row r="35" spans="2:5" x14ac:dyDescent="0.3">
      <c r="B35" s="24"/>
      <c r="C35" s="24"/>
      <c r="D35" s="24"/>
      <c r="E35" s="24"/>
    </row>
  </sheetData>
  <sheetProtection sheet="1" objects="1" scenarios="1"/>
  <protectedRanges>
    <protectedRange sqref="AK5:AM5" name="Rango1"/>
  </protectedRanges>
  <dataConsolidate function="max"/>
  <mergeCells count="94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D14:T14"/>
    <mergeCell ref="D20:T20"/>
    <mergeCell ref="D15:T15"/>
    <mergeCell ref="D16:T16"/>
    <mergeCell ref="D17:T17"/>
    <mergeCell ref="D18:T18"/>
    <mergeCell ref="D19:T19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list" allowBlank="1" showInputMessage="1" showErrorMessage="1" sqref="AK5:AM5" xr:uid="{4CD2D322-D160-42A0-8BFF-CDD129FA6789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A1:AF28"/>
  <sheetViews>
    <sheetView zoomScaleNormal="100" workbookViewId="0">
      <selection activeCell="Q3" sqref="Q3:S3"/>
    </sheetView>
  </sheetViews>
  <sheetFormatPr baseColWidth="10" defaultColWidth="3" defaultRowHeight="14.4" x14ac:dyDescent="0.3"/>
  <cols>
    <col min="5" max="5" width="8.77734375" customWidth="1"/>
    <col min="20" max="34" width="6.44140625" bestFit="1" customWidth="1"/>
  </cols>
  <sheetData>
    <row r="1" spans="1:32" x14ac:dyDescent="0.3">
      <c r="E1" s="25" t="s">
        <v>69</v>
      </c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</row>
    <row r="2" spans="1:32" x14ac:dyDescent="0.3">
      <c r="E2" s="18" t="s">
        <v>68</v>
      </c>
      <c r="F2" s="42" t="s">
        <v>24</v>
      </c>
      <c r="G2" s="43"/>
      <c r="H2" s="43"/>
      <c r="I2" s="43"/>
      <c r="J2" s="43"/>
      <c r="K2" s="43"/>
      <c r="L2" s="43"/>
      <c r="M2" s="43"/>
      <c r="N2" s="43"/>
      <c r="O2" s="43"/>
      <c r="P2" s="44"/>
      <c r="Q2" s="42" t="s">
        <v>66</v>
      </c>
      <c r="R2" s="43"/>
      <c r="S2" s="44"/>
      <c r="T2" s="17" t="s">
        <v>70</v>
      </c>
      <c r="U2" s="17" t="s">
        <v>71</v>
      </c>
      <c r="V2" s="17" t="s">
        <v>72</v>
      </c>
      <c r="W2" s="17" t="s">
        <v>73</v>
      </c>
      <c r="X2" s="17" t="s">
        <v>74</v>
      </c>
      <c r="Y2" s="17" t="s">
        <v>75</v>
      </c>
      <c r="Z2" s="17" t="s">
        <v>76</v>
      </c>
      <c r="AA2" s="17" t="s">
        <v>77</v>
      </c>
      <c r="AB2" s="17" t="s">
        <v>78</v>
      </c>
      <c r="AC2" s="17" t="s">
        <v>79</v>
      </c>
      <c r="AD2" s="17" t="s">
        <v>80</v>
      </c>
      <c r="AE2" s="17" t="s">
        <v>81</v>
      </c>
      <c r="AF2" s="17" t="s">
        <v>82</v>
      </c>
    </row>
    <row r="3" spans="1:32" x14ac:dyDescent="0.3">
      <c r="E3" s="19">
        <v>4</v>
      </c>
      <c r="F3" s="42" t="s">
        <v>28</v>
      </c>
      <c r="G3" s="43"/>
      <c r="H3" s="43"/>
      <c r="I3" s="43"/>
      <c r="J3" s="43"/>
      <c r="K3" s="43"/>
      <c r="L3" s="43"/>
      <c r="M3" s="43"/>
      <c r="N3" s="43"/>
      <c r="O3" s="43"/>
      <c r="P3" s="44"/>
      <c r="Q3" s="45">
        <v>44781</v>
      </c>
      <c r="R3" s="46"/>
      <c r="S3" s="47"/>
      <c r="T3" s="20"/>
      <c r="U3" s="20"/>
      <c r="V3" s="20"/>
      <c r="W3" s="20" t="s">
        <v>19</v>
      </c>
      <c r="X3" s="20"/>
      <c r="Y3" s="20"/>
      <c r="Z3" s="20"/>
      <c r="AA3" s="20"/>
      <c r="AB3" s="20"/>
      <c r="AC3" s="20"/>
      <c r="AD3" s="20"/>
      <c r="AE3" s="20"/>
      <c r="AF3" s="20"/>
    </row>
    <row r="4" spans="1:32" x14ac:dyDescent="0.3">
      <c r="E4" s="19">
        <v>4</v>
      </c>
      <c r="F4" s="42" t="s">
        <v>34</v>
      </c>
      <c r="G4" s="43"/>
      <c r="H4" s="43"/>
      <c r="I4" s="43"/>
      <c r="J4" s="43"/>
      <c r="K4" s="43"/>
      <c r="L4" s="43"/>
      <c r="M4" s="43"/>
      <c r="N4" s="43"/>
      <c r="O4" s="43"/>
      <c r="P4" s="44"/>
      <c r="Q4" s="45">
        <v>44781</v>
      </c>
      <c r="R4" s="46"/>
      <c r="S4" s="47"/>
      <c r="T4" s="20"/>
      <c r="U4" s="20"/>
      <c r="V4" s="20"/>
      <c r="W4" s="20"/>
      <c r="X4" s="20" t="s">
        <v>13</v>
      </c>
      <c r="Y4" s="20"/>
      <c r="Z4" s="20"/>
      <c r="AA4" s="20"/>
      <c r="AB4" s="20"/>
      <c r="AC4" s="20"/>
      <c r="AD4" s="20"/>
      <c r="AE4" s="20"/>
      <c r="AF4" s="20"/>
    </row>
    <row r="5" spans="1:32" x14ac:dyDescent="0.3">
      <c r="E5" s="19">
        <v>3</v>
      </c>
      <c r="F5" s="42" t="s">
        <v>37</v>
      </c>
      <c r="G5" s="43"/>
      <c r="H5" s="43"/>
      <c r="I5" s="43"/>
      <c r="J5" s="43"/>
      <c r="K5" s="43"/>
      <c r="L5" s="43"/>
      <c r="M5" s="43"/>
      <c r="N5" s="43"/>
      <c r="O5" s="43"/>
      <c r="P5" s="44"/>
      <c r="Q5" s="45">
        <v>44780</v>
      </c>
      <c r="R5" s="46"/>
      <c r="S5" s="47"/>
      <c r="T5" s="17" t="s">
        <v>15</v>
      </c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</row>
    <row r="15" spans="1:32" x14ac:dyDescent="0.3">
      <c r="A15" s="16"/>
      <c r="B15" s="16"/>
      <c r="C15" s="16"/>
    </row>
    <row r="16" spans="1:32" x14ac:dyDescent="0.3">
      <c r="A16" s="16"/>
      <c r="B16" s="16"/>
      <c r="C16" s="16"/>
    </row>
    <row r="17" spans="1:5" x14ac:dyDescent="0.3">
      <c r="A17" s="16"/>
      <c r="B17" s="16"/>
      <c r="C17" s="16"/>
    </row>
    <row r="18" spans="1:5" x14ac:dyDescent="0.3">
      <c r="A18" s="16"/>
      <c r="B18" s="16"/>
      <c r="C18" s="16"/>
    </row>
    <row r="19" spans="1:5" x14ac:dyDescent="0.3">
      <c r="A19" s="16"/>
      <c r="B19" s="16"/>
      <c r="C19" s="16"/>
    </row>
    <row r="20" spans="1:5" x14ac:dyDescent="0.3">
      <c r="A20" s="16"/>
      <c r="B20" s="16"/>
      <c r="C20" s="16"/>
    </row>
    <row r="21" spans="1:5" x14ac:dyDescent="0.3">
      <c r="A21" s="16"/>
      <c r="B21" s="16"/>
      <c r="C21" s="16"/>
    </row>
    <row r="22" spans="1:5" x14ac:dyDescent="0.3">
      <c r="A22" s="16"/>
      <c r="B22" s="16"/>
      <c r="C22" s="16"/>
    </row>
    <row r="23" spans="1:5" x14ac:dyDescent="0.3">
      <c r="A23" s="16"/>
      <c r="B23" s="16"/>
      <c r="C23" s="16"/>
    </row>
    <row r="24" spans="1:5" x14ac:dyDescent="0.3">
      <c r="A24" s="16"/>
      <c r="B24" s="16"/>
      <c r="C24" s="16"/>
    </row>
    <row r="25" spans="1:5" x14ac:dyDescent="0.3">
      <c r="A25" s="16"/>
      <c r="B25" s="16"/>
      <c r="C25" s="16"/>
      <c r="E25" s="14"/>
    </row>
    <row r="26" spans="1:5" x14ac:dyDescent="0.3">
      <c r="A26" s="16"/>
      <c r="B26" s="16"/>
      <c r="C26" s="16"/>
      <c r="E26" s="14"/>
    </row>
    <row r="27" spans="1:5" x14ac:dyDescent="0.3">
      <c r="A27" s="16"/>
      <c r="B27" s="16"/>
      <c r="C27" s="16"/>
    </row>
    <row r="28" spans="1:5" x14ac:dyDescent="0.3">
      <c r="A28" s="16"/>
      <c r="B28" s="16"/>
      <c r="C28" s="16"/>
    </row>
  </sheetData>
  <dataConsolidate/>
  <mergeCells count="9">
    <mergeCell ref="Q2:S2"/>
    <mergeCell ref="F2:P2"/>
    <mergeCell ref="E1:AF1"/>
    <mergeCell ref="F5:P5"/>
    <mergeCell ref="Q5:S5"/>
    <mergeCell ref="F4:P4"/>
    <mergeCell ref="Q4:S4"/>
    <mergeCell ref="F3:P3"/>
    <mergeCell ref="Q3:S3"/>
  </mergeCells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workbookViewId="0">
      <selection activeCell="C18" sqref="C18:D21"/>
    </sheetView>
  </sheetViews>
  <sheetFormatPr baseColWidth="10" defaultRowHeight="14.4" x14ac:dyDescent="0.3"/>
  <sheetData>
    <row r="1" spans="1:3" x14ac:dyDescent="0.3">
      <c r="A1" s="48"/>
      <c r="B1" s="48"/>
      <c r="C1" s="48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B10" sqref="B10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3.5546875" bestFit="1" customWidth="1"/>
    <col min="5" max="5" width="17.33203125" bestFit="1" customWidth="1"/>
  </cols>
  <sheetData>
    <row r="4" spans="2:5" x14ac:dyDescent="0.3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3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3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3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3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3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3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3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3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3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3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3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3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3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3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3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3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3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3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3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3">
      <c r="C18" s="5"/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BUSQUEDA</vt:lpstr>
      <vt:lpstr>FACTURAS</vt:lpstr>
      <vt:lpstr>MEMORIA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Administrador</cp:lastModifiedBy>
  <cp:revision/>
  <dcterms:created xsi:type="dcterms:W3CDTF">2022-07-27T23:30:22Z</dcterms:created>
  <dcterms:modified xsi:type="dcterms:W3CDTF">2022-08-09T03:51:41Z</dcterms:modified>
  <cp:category/>
  <cp:contentStatus/>
</cp:coreProperties>
</file>